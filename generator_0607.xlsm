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0" codeName="{3D1A710C-6663-3D7B-7F91-EC182F24A4B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project\Dissertation\"/>
    </mc:Choice>
  </mc:AlternateContent>
  <xr:revisionPtr revIDLastSave="0" documentId="13_ncr:1_{804DCCB0-5064-4F81-A9DE-5126EEDF717E}" xr6:coauthVersionLast="36" xr6:coauthVersionMax="36" xr10:uidLastSave="{00000000-0000-0000-0000-000000000000}"/>
  <bookViews>
    <workbookView xWindow="0" yWindow="0" windowWidth="22260" windowHeight="12648" firstSheet="3" activeTab="10" xr2:uid="{00000000-000D-0000-FFFF-FFFF00000000}"/>
  </bookViews>
  <sheets>
    <sheet name="project2" sheetId="352" r:id="rId1"/>
    <sheet name="dashboard" sheetId="340" r:id="rId2"/>
    <sheet name="old_project" sheetId="341" r:id="rId3"/>
    <sheet name="parameters" sheetId="7" r:id="rId4"/>
    <sheet name="generator" sheetId="1" r:id="rId5"/>
    <sheet name="project" sheetId="2" r:id="rId6"/>
    <sheet name="hr" sheetId="3" r:id="rId7"/>
    <sheet name="activity_struct" sheetId="353" r:id="rId8"/>
    <sheet name="new_struct" sheetId="339" r:id="rId9"/>
    <sheet name="datastructer" sheetId="4" r:id="rId10"/>
    <sheet name="옵션설명" sheetId="6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0" i="6" l="1"/>
  <c r="C14" i="6"/>
  <c r="B14" i="6"/>
  <c r="B13" i="6"/>
  <c r="C13" i="6" s="1"/>
  <c r="D12" i="6"/>
  <c r="C12" i="6"/>
  <c r="B12" i="6"/>
  <c r="B15" i="6" l="1"/>
  <c r="C15" i="6" s="1"/>
  <c r="E13" i="6"/>
  <c r="B3" i="353"/>
  <c r="B4" i="353" s="1"/>
  <c r="B5" i="353" s="1"/>
  <c r="B6" i="353" s="1"/>
  <c r="B7" i="353" s="1"/>
  <c r="B5" i="1" l="1"/>
  <c r="C8" i="7"/>
  <c r="B16" i="6" l="1"/>
  <c r="C16" i="6" s="1"/>
  <c r="C10" i="1"/>
  <c r="C8" i="1"/>
  <c r="C7" i="1"/>
  <c r="C10" i="7"/>
  <c r="C7" i="7"/>
  <c r="B17" i="6" l="1"/>
  <c r="C17" i="6" s="1"/>
  <c r="B18" i="6" l="1"/>
  <c r="C18" i="6" s="1"/>
  <c r="B19" i="6" l="1"/>
  <c r="C19" i="6" s="1"/>
  <c r="B20" i="6" l="1"/>
  <c r="B21" i="6" l="1"/>
  <c r="C21" i="6" s="1"/>
  <c r="B22" i="6" l="1"/>
  <c r="C22" i="6" s="1"/>
  <c r="C23" i="6" l="1"/>
  <c r="B23" i="6"/>
  <c r="B24" i="6" l="1"/>
  <c r="C24" i="6" s="1"/>
  <c r="B25" i="6" l="1"/>
  <c r="C25" i="6" s="1"/>
  <c r="B26" i="6" l="1"/>
  <c r="C26" i="6" s="1"/>
  <c r="B27" i="6" l="1"/>
  <c r="B28" i="6" s="1"/>
  <c r="B29" i="6" s="1"/>
  <c r="C27" i="6" l="1"/>
  <c r="C28" i="6" s="1"/>
  <c r="C29" i="6" s="1"/>
</calcChain>
</file>

<file path=xl/sharedStrings.xml><?xml version="1.0" encoding="utf-8"?>
<sst xmlns="http://schemas.openxmlformats.org/spreadsheetml/2006/main" count="1575" uniqueCount="215">
  <si>
    <t>* 문제에 사용할 데이터를 생성한다.</t>
    <phoneticPr fontId="1" type="noConversion"/>
  </si>
  <si>
    <t>* 생성하는 데이터를 위한 기초정보를 기록한다.</t>
    <phoneticPr fontId="1" type="noConversion"/>
  </si>
  <si>
    <t>project</t>
    <phoneticPr fontId="1" type="noConversion"/>
  </si>
  <si>
    <t>구분</t>
    <phoneticPr fontId="1" type="noConversion"/>
  </si>
  <si>
    <t>type</t>
    <phoneticPr fontId="1" type="noConversion"/>
  </si>
  <si>
    <t>ActCntLB</t>
    <phoneticPr fontId="1" type="noConversion"/>
  </si>
  <si>
    <t>ActCntUB</t>
    <phoneticPr fontId="1" type="noConversion"/>
  </si>
  <si>
    <t>최소 활동수</t>
    <phoneticPr fontId="1" type="noConversion"/>
  </si>
  <si>
    <t>최대 활동수</t>
    <phoneticPr fontId="1" type="noConversion"/>
  </si>
  <si>
    <t>ActModeLB</t>
    <phoneticPr fontId="1" type="noConversion"/>
  </si>
  <si>
    <t>ActModeUB</t>
    <phoneticPr fontId="1" type="noConversion"/>
  </si>
  <si>
    <t>최대 모드수</t>
    <phoneticPr fontId="1" type="noConversion"/>
  </si>
  <si>
    <t>최소 모드수</t>
    <phoneticPr fontId="1" type="noConversion"/>
  </si>
  <si>
    <t>ActDurLB</t>
    <phoneticPr fontId="1" type="noConversion"/>
  </si>
  <si>
    <t>ActDurUB</t>
    <phoneticPr fontId="1" type="noConversion"/>
  </si>
  <si>
    <t>Global</t>
    <phoneticPr fontId="1" type="noConversion"/>
  </si>
  <si>
    <t>배열 - 타입별 발생주기</t>
    <phoneticPr fontId="1" type="noConversion"/>
  </si>
  <si>
    <t>typePeriod</t>
    <phoneticPr fontId="1" type="noConversion"/>
  </si>
  <si>
    <t>배열크기</t>
    <phoneticPr fontId="1" type="noConversion"/>
  </si>
  <si>
    <t>배열의 값들</t>
    <phoneticPr fontId="1" type="noConversion"/>
  </si>
  <si>
    <t>typeDelay</t>
    <phoneticPr fontId="1" type="noConversion"/>
  </si>
  <si>
    <t>typeOderChance</t>
    <phoneticPr fontId="1" type="noConversion"/>
  </si>
  <si>
    <t>typeProfit</t>
    <phoneticPr fontId="1" type="noConversion"/>
  </si>
  <si>
    <t>typeCnt</t>
    <phoneticPr fontId="1" type="noConversion"/>
  </si>
  <si>
    <t>외부프로젝트는 인원수에서 역산?? 내부는 분포로?</t>
    <phoneticPr fontId="1" type="noConversion"/>
  </si>
  <si>
    <t>최소 활동기간(월)</t>
    <phoneticPr fontId="1" type="noConversion"/>
  </si>
  <si>
    <t>최대 활동기간(월)</t>
    <phoneticPr fontId="1" type="noConversion"/>
  </si>
  <si>
    <t>시뮬레이션의 기간(월)</t>
    <phoneticPr fontId="1" type="noConversion"/>
  </si>
  <si>
    <t>last</t>
    <phoneticPr fontId="1" type="noConversion"/>
  </si>
  <si>
    <t>project_end</t>
    <phoneticPr fontId="1" type="noConversion"/>
  </si>
  <si>
    <t>프로젝트 구성요소들의 개수</t>
    <phoneticPr fontId="1" type="noConversion"/>
  </si>
  <si>
    <t>PrjDataSize</t>
    <phoneticPr fontId="1" type="noConversion"/>
  </si>
  <si>
    <t>행의 갯수 계산을 위해서 언제나 마지막은 이 포맷을 유지한다.</t>
    <phoneticPr fontId="1" type="noConversion"/>
  </si>
  <si>
    <t>프로젝트</t>
    <phoneticPr fontId="1" type="noConversion"/>
  </si>
  <si>
    <t>타입</t>
    <phoneticPr fontId="1" type="noConversion"/>
  </si>
  <si>
    <t>고급</t>
    <phoneticPr fontId="1" type="noConversion"/>
  </si>
  <si>
    <t>중급</t>
    <phoneticPr fontId="1" type="noConversion"/>
  </si>
  <si>
    <t>인건비</t>
    <phoneticPr fontId="1" type="noConversion"/>
  </si>
  <si>
    <t>자원</t>
    <phoneticPr fontId="1" type="noConversion"/>
  </si>
  <si>
    <t>초급</t>
    <phoneticPr fontId="1" type="noConversion"/>
  </si>
  <si>
    <t>발생주기</t>
    <phoneticPr fontId="1" type="noConversion"/>
  </si>
  <si>
    <t>수주까지 시간</t>
    <phoneticPr fontId="1" type="noConversion"/>
  </si>
  <si>
    <t>수주확률</t>
    <phoneticPr fontId="1" type="noConversion"/>
  </si>
  <si>
    <t>활동1</t>
    <phoneticPr fontId="1" type="noConversion"/>
  </si>
  <si>
    <t>활동2</t>
    <phoneticPr fontId="1" type="noConversion"/>
  </si>
  <si>
    <t>활동n</t>
    <phoneticPr fontId="1" type="noConversion"/>
  </si>
  <si>
    <t>활동수n</t>
    <phoneticPr fontId="1" type="noConversion"/>
  </si>
  <si>
    <t>번호</t>
    <phoneticPr fontId="1" type="noConversion"/>
  </si>
  <si>
    <t>범례</t>
    <phoneticPr fontId="1" type="noConversion"/>
  </si>
  <si>
    <t>입력값</t>
    <phoneticPr fontId="1" type="noConversion"/>
  </si>
  <si>
    <t>계산결과</t>
    <phoneticPr fontId="1" type="noConversion"/>
  </si>
  <si>
    <t>기간※</t>
    <phoneticPr fontId="1" type="noConversion"/>
  </si>
  <si>
    <t>자원※</t>
    <phoneticPr fontId="1" type="noConversion"/>
  </si>
  <si>
    <t>hr</t>
    <phoneticPr fontId="1" type="noConversion"/>
  </si>
  <si>
    <t>최초에 보유한 고급 인력</t>
    <phoneticPr fontId="1" type="noConversion"/>
  </si>
  <si>
    <t>최초에 보유한 중급 인력</t>
    <phoneticPr fontId="1" type="noConversion"/>
  </si>
  <si>
    <t>최초에 보유한 초급 인력</t>
    <phoneticPr fontId="1" type="noConversion"/>
  </si>
  <si>
    <t>모드수n</t>
    <phoneticPr fontId="1" type="noConversion"/>
  </si>
  <si>
    <t>모드1</t>
    <phoneticPr fontId="1" type="noConversion"/>
  </si>
  <si>
    <t>모드2</t>
    <phoneticPr fontId="1" type="noConversion"/>
  </si>
  <si>
    <t>모드n</t>
    <phoneticPr fontId="1" type="noConversion"/>
  </si>
  <si>
    <t>모드들</t>
    <phoneticPr fontId="1" type="noConversion"/>
  </si>
  <si>
    <t>시작(월)</t>
    <phoneticPr fontId="1" type="noConversion"/>
  </si>
  <si>
    <t>발주(월)</t>
    <phoneticPr fontId="1" type="noConversion"/>
  </si>
  <si>
    <t>상태</t>
    <phoneticPr fontId="1" type="noConversion"/>
  </si>
  <si>
    <t>시작, 중지,종료</t>
    <phoneticPr fontId="1" type="noConversion"/>
  </si>
  <si>
    <t>Policy</t>
    <phoneticPr fontId="1" type="noConversion"/>
  </si>
  <si>
    <t>cash</t>
    <phoneticPr fontId="1" type="noConversion"/>
  </si>
  <si>
    <t>인력 충원에 걸리는 시간</t>
    <phoneticPr fontId="1" type="noConversion"/>
  </si>
  <si>
    <t>최초 보유한 자금</t>
    <phoneticPr fontId="1" type="noConversion"/>
  </si>
  <si>
    <t>Hr_Init_H</t>
    <phoneticPr fontId="1" type="noConversion"/>
  </si>
  <si>
    <t>Hr_Init_M</t>
    <phoneticPr fontId="1" type="noConversion"/>
  </si>
  <si>
    <t>Hr_Init_L</t>
    <phoneticPr fontId="1" type="noConversion"/>
  </si>
  <si>
    <t>Hr_LeadTime</t>
    <phoneticPr fontId="1" type="noConversion"/>
  </si>
  <si>
    <t>Cash_Init</t>
    <phoneticPr fontId="1" type="noConversion"/>
  </si>
  <si>
    <t>Optimistic</t>
  </si>
  <si>
    <t>Most Likely</t>
  </si>
  <si>
    <t>Pessimistic</t>
  </si>
  <si>
    <t>Earliest Expected</t>
  </si>
  <si>
    <t xml:space="preserve">Realistic Times </t>
  </si>
  <si>
    <t>비관적</t>
  </si>
  <si>
    <t>가장 이른 예상일</t>
  </si>
  <si>
    <t>리얼타임</t>
  </si>
  <si>
    <t>낙관적</t>
    <phoneticPr fontId="1" type="noConversion"/>
  </si>
  <si>
    <t>일반적</t>
    <phoneticPr fontId="1" type="noConversion"/>
  </si>
  <si>
    <t>Opt</t>
    <phoneticPr fontId="1" type="noConversion"/>
  </si>
  <si>
    <t>ML</t>
    <phoneticPr fontId="1" type="noConversion"/>
  </si>
  <si>
    <t>Pess</t>
    <phoneticPr fontId="1" type="noConversion"/>
  </si>
  <si>
    <t>Opt</t>
  </si>
  <si>
    <t>ML</t>
  </si>
  <si>
    <t>Pess</t>
  </si>
  <si>
    <t>DataIndex</t>
  </si>
  <si>
    <t>LastIndex</t>
  </si>
  <si>
    <t>SimulTerm</t>
  </si>
  <si>
    <t>기간</t>
    <phoneticPr fontId="1" type="noConversion"/>
  </si>
  <si>
    <t>월 프로젝트 생성 건수 - Opt</t>
    <phoneticPr fontId="1" type="noConversion"/>
  </si>
  <si>
    <t>x</t>
    <phoneticPr fontId="1" type="noConversion"/>
  </si>
  <si>
    <t>배열 - 외부프로젝트의 리드 타임 - 일양분포(정수로 한정)</t>
    <phoneticPr fontId="1" type="noConversion"/>
  </si>
  <si>
    <t>최대</t>
    <phoneticPr fontId="1" type="noConversion"/>
  </si>
  <si>
    <t>최소</t>
    <phoneticPr fontId="1" type="noConversion"/>
  </si>
  <si>
    <t>배열- 외부 프로젝트의 수주가능성 (20~60% 일양분포)</t>
    <phoneticPr fontId="1" type="noConversion"/>
  </si>
  <si>
    <t>배열- 타입별 이익율(삼각형분포) - 프로젝트 속성과 관련되어 있음</t>
    <phoneticPr fontId="1" type="noConversion"/>
  </si>
  <si>
    <t>&lt;== 프로젝트 속성에서 비용을 구할수있다.</t>
    <phoneticPr fontId="1" type="noConversion"/>
  </si>
  <si>
    <t>프로젝트 활동 속성의 수 (갯수, 기간, 모드)</t>
    <phoneticPr fontId="1" type="noConversion"/>
  </si>
  <si>
    <t xml:space="preserve">* 일자 </t>
    <phoneticPr fontId="1" type="noConversion"/>
  </si>
  <si>
    <t>프로젝트 구분 타입(Intenal/External)</t>
    <phoneticPr fontId="1" type="noConversion"/>
  </si>
  <si>
    <t>ProblemCnt</t>
    <phoneticPr fontId="1" type="noConversion"/>
  </si>
  <si>
    <t>프로젝트 생성 개수 (= 문제의 개수)</t>
    <phoneticPr fontId="1" type="noConversion"/>
  </si>
  <si>
    <t>낙관적 전망치</t>
    <phoneticPr fontId="1" type="noConversion"/>
  </si>
  <si>
    <t>일반적 전망치</t>
    <phoneticPr fontId="1" type="noConversion"/>
  </si>
  <si>
    <r>
      <rPr>
        <sz val="11"/>
        <color rgb="FF000000"/>
        <rFont val="맑은 고딕"/>
        <family val="3"/>
        <charset val="129"/>
      </rPr>
      <t>비관적</t>
    </r>
    <r>
      <rPr>
        <sz val="11"/>
        <color rgb="FF000000"/>
        <rFont val="맑은 고딕"/>
        <family val="2"/>
        <charset val="129"/>
      </rPr>
      <t xml:space="preserve"> 전망치</t>
    </r>
    <phoneticPr fontId="1" type="noConversion"/>
  </si>
  <si>
    <t>월간 최대 발생 프로젝트(년평균)</t>
    <phoneticPr fontId="1" type="noConversion"/>
  </si>
  <si>
    <t>PrjMaxCnt</t>
    <phoneticPr fontId="1" type="noConversion"/>
  </si>
  <si>
    <t>월</t>
  </si>
  <si>
    <t>r1</t>
    <phoneticPr fontId="1" type="noConversion"/>
  </si>
  <si>
    <t>r2</t>
    <phoneticPr fontId="1" type="noConversion"/>
  </si>
  <si>
    <t>r3</t>
    <phoneticPr fontId="1" type="noConversion"/>
  </si>
  <si>
    <t>누계</t>
  </si>
  <si>
    <t>발주</t>
  </si>
  <si>
    <t>순번</t>
    <phoneticPr fontId="1" type="noConversion"/>
  </si>
  <si>
    <t>ActivityCnt</t>
    <phoneticPr fontId="1" type="noConversion"/>
  </si>
  <si>
    <t>시작</t>
    <phoneticPr fontId="1" type="noConversion"/>
  </si>
  <si>
    <t>끝</t>
    <phoneticPr fontId="1" type="noConversion"/>
  </si>
  <si>
    <t>프로젝트 속성</t>
    <phoneticPr fontId="1" type="noConversion"/>
  </si>
  <si>
    <t>Activity 1</t>
    <phoneticPr fontId="1" type="noConversion"/>
  </si>
  <si>
    <t>Activity 2</t>
  </si>
  <si>
    <t>Activity 3</t>
  </si>
  <si>
    <t>Activity 4</t>
  </si>
  <si>
    <t>Activity 5</t>
  </si>
  <si>
    <t>Activity 6</t>
  </si>
  <si>
    <t>프로그램에서 사용할 데이터가 시작되는 행 번호</t>
    <phoneticPr fontId="1" type="noConversion"/>
  </si>
  <si>
    <t>이 테이블의 최대 크기</t>
    <phoneticPr fontId="1" type="noConversion"/>
  </si>
  <si>
    <t>D</t>
    <phoneticPr fontId="1" type="noConversion"/>
  </si>
  <si>
    <t>기간</t>
  </si>
  <si>
    <t>ActivityCnt</t>
  </si>
  <si>
    <t>Dur</t>
  </si>
  <si>
    <t>start</t>
  </si>
  <si>
    <t>end</t>
  </si>
  <si>
    <t>HR_H</t>
  </si>
  <si>
    <t>HR_M</t>
  </si>
  <si>
    <t>HR_L</t>
  </si>
  <si>
    <t>Activity1</t>
  </si>
  <si>
    <t>Activity2</t>
  </si>
  <si>
    <t>Activity3</t>
  </si>
  <si>
    <t>Activity4</t>
  </si>
  <si>
    <t>Activity5</t>
  </si>
  <si>
    <t>Activity6</t>
  </si>
  <si>
    <t>순번</t>
  </si>
  <si>
    <t>발주 프로젝트 현황</t>
  </si>
  <si>
    <t>진행 프로젝트 현황</t>
  </si>
  <si>
    <t>합계</t>
  </si>
  <si>
    <t>prjNum</t>
  </si>
  <si>
    <t>보류 프로젝트 현황</t>
  </si>
  <si>
    <t>완료 프로젝트 현황</t>
  </si>
  <si>
    <t>타입</t>
  </si>
  <si>
    <t>프로젝트</t>
  </si>
  <si>
    <t>타입별발생확율</t>
  </si>
  <si>
    <t>최대기간</t>
  </si>
  <si>
    <t>패턴수</t>
  </si>
  <si>
    <t>패턴번호</t>
  </si>
  <si>
    <t>번호</t>
  </si>
  <si>
    <t>최소기간</t>
    <phoneticPr fontId="1" type="noConversion"/>
  </si>
  <si>
    <t>패턴</t>
    <phoneticPr fontId="1" type="noConversion"/>
  </si>
  <si>
    <t>활동수</t>
    <phoneticPr fontId="1" type="noConversion"/>
  </si>
  <si>
    <t>고</t>
    <phoneticPr fontId="1" type="noConversion"/>
  </si>
  <si>
    <t>중</t>
    <phoneticPr fontId="1" type="noConversion"/>
  </si>
  <si>
    <t>초</t>
    <phoneticPr fontId="1" type="noConversion"/>
  </si>
  <si>
    <t>1~3</t>
    <phoneticPr fontId="1" type="noConversion"/>
  </si>
  <si>
    <t>4~6</t>
    <phoneticPr fontId="1" type="noConversion"/>
  </si>
  <si>
    <t>6~12</t>
    <phoneticPr fontId="1" type="noConversion"/>
  </si>
  <si>
    <t>12~18</t>
    <phoneticPr fontId="1" type="noConversion"/>
  </si>
  <si>
    <t>비고(개월)</t>
    <phoneticPr fontId="1" type="noConversion"/>
  </si>
  <si>
    <t>0.5~1</t>
    <phoneticPr fontId="1" type="noConversion"/>
  </si>
  <si>
    <t>: 2번째 활동은 전체기간- 활동1의 기간</t>
    <phoneticPr fontId="1" type="noConversion"/>
  </si>
  <si>
    <t>활동5</t>
    <phoneticPr fontId="1" type="noConversion"/>
  </si>
  <si>
    <t>활동2의 기간 = 전체기간 - 활동1의 기간</t>
    <phoneticPr fontId="1" type="noConversion"/>
  </si>
  <si>
    <t>활동3의 마지막 기간은 전체 활동의 마지막 기간과 일치한다.</t>
    <phoneticPr fontId="1" type="noConversion"/>
  </si>
  <si>
    <t>활동4의 마지막 기간은 활동3의 시작 기간과 일치한다.</t>
    <phoneticPr fontId="1" type="noConversion"/>
  </si>
  <si>
    <t>활동1(분석설계 또는 단순업무)</t>
    <phoneticPr fontId="1" type="noConversion"/>
  </si>
  <si>
    <t>활동2(구현)</t>
    <phoneticPr fontId="1" type="noConversion"/>
  </si>
  <si>
    <t>활동4(단위테스트)</t>
    <phoneticPr fontId="1" type="noConversion"/>
  </si>
  <si>
    <t>활동3(통합테스트)</t>
    <phoneticPr fontId="1" type="noConversion"/>
  </si>
  <si>
    <t>활동에 투입되는 인원은 기간에 비례해서 확율적으로 늘어난다</t>
    <phoneticPr fontId="1" type="noConversion"/>
  </si>
  <si>
    <t>기간비율(%)</t>
    <phoneticPr fontId="1" type="noConversion"/>
  </si>
  <si>
    <t>인력(%)</t>
    <phoneticPr fontId="1" type="noConversion"/>
  </si>
  <si>
    <t>누적(%)</t>
    <phoneticPr fontId="1" type="noConversion"/>
  </si>
  <si>
    <t>확률(%)</t>
    <phoneticPr fontId="1" type="noConversion"/>
  </si>
  <si>
    <t>발주일</t>
  </si>
  <si>
    <t>시작가능</t>
  </si>
  <si>
    <t>시작</t>
  </si>
  <si>
    <t>수익</t>
  </si>
  <si>
    <t>경험</t>
  </si>
  <si>
    <t>성공%</t>
  </si>
  <si>
    <t>CF1%</t>
  </si>
  <si>
    <t>CF2%</t>
  </si>
  <si>
    <t>CF3%</t>
  </si>
  <si>
    <t>mon_cf1</t>
  </si>
  <si>
    <t>mon_cf2</t>
  </si>
  <si>
    <t>mon_cf3</t>
  </si>
  <si>
    <t>단순업무</t>
    <phoneticPr fontId="1" type="noConversion"/>
  </si>
  <si>
    <t>분석설계</t>
  </si>
  <si>
    <t>분석설계</t>
    <phoneticPr fontId="1" type="noConversion"/>
  </si>
  <si>
    <t>구현</t>
    <phoneticPr fontId="1" type="noConversion"/>
  </si>
  <si>
    <t>통합테스트</t>
    <phoneticPr fontId="1" type="noConversion"/>
  </si>
  <si>
    <t>단위테스트</t>
    <phoneticPr fontId="1" type="noConversion"/>
  </si>
  <si>
    <t>컨설팅, 분석설계</t>
    <phoneticPr fontId="1" type="noConversion"/>
  </si>
  <si>
    <t>구현, 개발자 테스트</t>
    <phoneticPr fontId="1" type="noConversion"/>
  </si>
  <si>
    <t>프로젝트 신규</t>
    <phoneticPr fontId="1" type="noConversion"/>
  </si>
  <si>
    <t>진행중인것 멈추기</t>
    <phoneticPr fontId="1" type="noConversion"/>
  </si>
  <si>
    <t>내부플젝 진행 여부</t>
    <phoneticPr fontId="1" type="noConversion"/>
  </si>
  <si>
    <t>충원</t>
    <phoneticPr fontId="1" type="noConversion"/>
  </si>
  <si>
    <t>충원리드타임</t>
    <phoneticPr fontId="1" type="noConversion"/>
  </si>
  <si>
    <t>기간</t>
    <phoneticPr fontId="1" type="noConversion"/>
  </si>
  <si>
    <t>뽑힐확률</t>
    <phoneticPr fontId="1" type="noConversion"/>
  </si>
  <si>
    <t>cumulative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</si>
</sst>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m&quot;월&quot;\ dd&quot;일&quot;"/>
    <numFmt numFmtId="179" formatCode="0.0000"/>
    <numFmt numFmtId="180" formatCode="0.00000"/>
  </numFmts>
  <fonts count="6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rgb="FF000000"/>
      <name val="Microsoft YaHei"/>
      <family val="2"/>
      <charset val="134"/>
    </font>
    <font>
      <sz val="11"/>
      <color rgb="FF000000"/>
      <name val="맑은 고딕"/>
      <family val="2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>
      <alignment vertical="center"/>
    </xf>
  </cellStyleXfs>
  <cellXfs count="154">
    <xf numFmtId="0" fontId="0" fillId="0" borderId="0" xfId="0"/>
    <xf numFmtId="0" fontId="0" fillId="0" borderId="0" xfId="0" quotePrefix="1"/>
    <xf numFmtId="0" fontId="0" fillId="0" borderId="1" xfId="0" applyBorder="1"/>
    <xf numFmtId="0" fontId="0" fillId="2" borderId="1" xfId="0" applyFill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7" xfId="0" quotePrefix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2" borderId="2" xfId="0" applyFill="1" applyBorder="1"/>
    <xf numFmtId="0" fontId="0" fillId="2" borderId="3" xfId="0" applyFill="1" applyBorder="1"/>
    <xf numFmtId="0" fontId="0" fillId="0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0" xfId="0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4" borderId="1" xfId="0" applyFill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0" xfId="0" applyBorder="1" applyAlignment="1">
      <alignment horizontal="center"/>
    </xf>
    <xf numFmtId="0" fontId="0" fillId="3" borderId="1" xfId="0" applyFill="1" applyBorder="1" applyAlignment="1">
      <alignment horizontal="center" wrapText="1"/>
    </xf>
    <xf numFmtId="0" fontId="0" fillId="4" borderId="1" xfId="0" applyFill="1" applyBorder="1" applyAlignment="1">
      <alignment horizontal="center"/>
    </xf>
    <xf numFmtId="0" fontId="0" fillId="4" borderId="3" xfId="0" applyFill="1" applyBorder="1" applyAlignment="1">
      <alignment horizontal="left" vertical="top"/>
    </xf>
    <xf numFmtId="0" fontId="0" fillId="0" borderId="3" xfId="0" applyFill="1" applyBorder="1" applyAlignment="1">
      <alignment horizontal="left" vertical="top"/>
    </xf>
    <xf numFmtId="0" fontId="0" fillId="3" borderId="1" xfId="0" applyFill="1" applyBorder="1" applyAlignment="1">
      <alignment horizontal="left" vertical="top"/>
    </xf>
    <xf numFmtId="0" fontId="0" fillId="0" borderId="0" xfId="0" applyFill="1" applyBorder="1" applyAlignment="1">
      <alignment horizontal="left" vertical="top"/>
    </xf>
    <xf numFmtId="0" fontId="0" fillId="0" borderId="0" xfId="0" applyFill="1" applyBorder="1"/>
    <xf numFmtId="0" fontId="2" fillId="0" borderId="0" xfId="0" applyFont="1"/>
    <xf numFmtId="0" fontId="3" fillId="0" borderId="0" xfId="0" applyFont="1"/>
    <xf numFmtId="0" fontId="4" fillId="0" borderId="0" xfId="0" applyFont="1"/>
    <xf numFmtId="0" fontId="0" fillId="0" borderId="0" xfId="0"/>
    <xf numFmtId="0" fontId="4" fillId="5" borderId="0" xfId="0" applyFont="1" applyFill="1"/>
    <xf numFmtId="0" fontId="0" fillId="5" borderId="4" xfId="0" applyFill="1" applyBorder="1"/>
    <xf numFmtId="0" fontId="0" fillId="0" borderId="0" xfId="0" quotePrefix="1" applyFill="1"/>
    <xf numFmtId="14" fontId="0" fillId="0" borderId="0" xfId="0" applyNumberFormat="1"/>
    <xf numFmtId="0" fontId="0" fillId="0" borderId="0" xfId="0" applyBorder="1"/>
    <xf numFmtId="0" fontId="0" fillId="0" borderId="0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5" borderId="0" xfId="0" applyFill="1" applyBorder="1"/>
    <xf numFmtId="0" fontId="0" fillId="6" borderId="14" xfId="0" applyFill="1" applyBorder="1"/>
    <xf numFmtId="0" fontId="0" fillId="6" borderId="0" xfId="0" applyFill="1" applyBorder="1"/>
    <xf numFmtId="0" fontId="0" fillId="6" borderId="6" xfId="0" applyFill="1" applyBorder="1"/>
    <xf numFmtId="0" fontId="0" fillId="0" borderId="16" xfId="0" applyFill="1" applyBorder="1"/>
    <xf numFmtId="0" fontId="0" fillId="0" borderId="0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0" xfId="0" applyBorder="1"/>
    <xf numFmtId="0" fontId="0" fillId="0" borderId="0" xfId="0" applyAlignment="1">
      <alignment vertical="center"/>
    </xf>
    <xf numFmtId="9" fontId="0" fillId="0" borderId="0" xfId="1" applyFont="1" applyAlignment="1">
      <alignment vertical="center"/>
    </xf>
    <xf numFmtId="9" fontId="0" fillId="0" borderId="0" xfId="1" applyFont="1" applyAlignment="1"/>
    <xf numFmtId="9" fontId="0" fillId="0" borderId="1" xfId="1" applyFont="1" applyBorder="1" applyAlignment="1">
      <alignment vertical="center"/>
    </xf>
    <xf numFmtId="0" fontId="0" fillId="0" borderId="1" xfId="0" applyBorder="1" applyAlignment="1">
      <alignment vertical="center"/>
    </xf>
    <xf numFmtId="9" fontId="0" fillId="0" borderId="1" xfId="1" applyFont="1" applyBorder="1" applyAlignment="1"/>
    <xf numFmtId="0" fontId="0" fillId="0" borderId="27" xfId="0" applyBorder="1" applyAlignment="1">
      <alignment vertical="center"/>
    </xf>
    <xf numFmtId="9" fontId="0" fillId="0" borderId="27" xfId="1" applyFont="1" applyBorder="1" applyAlignment="1">
      <alignment vertical="center"/>
    </xf>
    <xf numFmtId="0" fontId="0" fillId="0" borderId="25" xfId="0" applyNumberFormat="1" applyBorder="1" applyAlignment="1">
      <alignment vertical="center"/>
    </xf>
    <xf numFmtId="0" fontId="0" fillId="0" borderId="1" xfId="0" applyNumberFormat="1" applyBorder="1"/>
    <xf numFmtId="0" fontId="0" fillId="0" borderId="25" xfId="1" applyNumberFormat="1" applyFont="1" applyBorder="1" applyAlignment="1"/>
    <xf numFmtId="0" fontId="0" fillId="0" borderId="25" xfId="0" applyNumberFormat="1" applyBorder="1"/>
    <xf numFmtId="0" fontId="0" fillId="0" borderId="25" xfId="1" applyNumberFormat="1" applyFont="1" applyBorder="1" applyAlignment="1">
      <alignment vertical="center"/>
    </xf>
    <xf numFmtId="0" fontId="0" fillId="0" borderId="0" xfId="0" applyNumberFormat="1" applyAlignment="1">
      <alignment vertical="center"/>
    </xf>
    <xf numFmtId="0" fontId="0" fillId="0" borderId="0" xfId="1" applyNumberFormat="1" applyFont="1" applyAlignment="1">
      <alignment vertical="center"/>
    </xf>
    <xf numFmtId="0" fontId="0" fillId="0" borderId="0" xfId="0" applyNumberFormat="1"/>
    <xf numFmtId="0" fontId="0" fillId="0" borderId="0" xfId="1" applyNumberFormat="1" applyFont="1" applyAlignment="1"/>
    <xf numFmtId="0" fontId="0" fillId="0" borderId="33" xfId="0" applyNumberFormat="1" applyBorder="1" applyAlignment="1">
      <alignment vertical="center"/>
    </xf>
    <xf numFmtId="0" fontId="0" fillId="0" borderId="33" xfId="1" applyNumberFormat="1" applyFont="1" applyBorder="1" applyAlignment="1"/>
    <xf numFmtId="0" fontId="0" fillId="0" borderId="11" xfId="0" applyNumberFormat="1" applyBorder="1"/>
    <xf numFmtId="0" fontId="0" fillId="0" borderId="33" xfId="0" applyNumberFormat="1" applyBorder="1"/>
    <xf numFmtId="0" fontId="0" fillId="0" borderId="28" xfId="0" applyBorder="1" applyAlignment="1">
      <alignment vertical="center"/>
    </xf>
    <xf numFmtId="176" fontId="0" fillId="0" borderId="0" xfId="0" applyNumberFormat="1"/>
    <xf numFmtId="0" fontId="0" fillId="0" borderId="10" xfId="0" applyFill="1" applyBorder="1" applyAlignment="1">
      <alignment vertical="center"/>
    </xf>
    <xf numFmtId="0" fontId="0" fillId="0" borderId="44" xfId="0" applyBorder="1" applyAlignment="1">
      <alignment vertical="center"/>
    </xf>
    <xf numFmtId="0" fontId="0" fillId="0" borderId="45" xfId="0" applyBorder="1" applyAlignment="1">
      <alignment vertical="center"/>
    </xf>
    <xf numFmtId="0" fontId="0" fillId="0" borderId="46" xfId="0" applyBorder="1" applyAlignment="1">
      <alignment vertical="center"/>
    </xf>
    <xf numFmtId="0" fontId="0" fillId="0" borderId="1" xfId="1" applyNumberFormat="1" applyFont="1" applyBorder="1" applyAlignment="1">
      <alignment vertical="center"/>
    </xf>
    <xf numFmtId="0" fontId="0" fillId="0" borderId="1" xfId="0" applyNumberFormat="1" applyBorder="1" applyAlignment="1">
      <alignment vertical="center"/>
    </xf>
    <xf numFmtId="0" fontId="0" fillId="0" borderId="1" xfId="1" applyNumberFormat="1" applyFont="1" applyBorder="1" applyAlignment="1"/>
    <xf numFmtId="0" fontId="0" fillId="0" borderId="32" xfId="0" applyNumberFormat="1" applyBorder="1" applyAlignment="1">
      <alignment vertical="center"/>
    </xf>
    <xf numFmtId="0" fontId="0" fillId="0" borderId="8" xfId="1" applyNumberFormat="1" applyFont="1" applyBorder="1" applyAlignment="1">
      <alignment vertical="center"/>
    </xf>
    <xf numFmtId="0" fontId="0" fillId="0" borderId="11" xfId="1" applyNumberFormat="1" applyFont="1" applyBorder="1" applyAlignment="1">
      <alignment vertical="center"/>
    </xf>
    <xf numFmtId="0" fontId="0" fillId="0" borderId="11" xfId="0" applyNumberFormat="1" applyBorder="1" applyAlignment="1">
      <alignment vertical="center"/>
    </xf>
    <xf numFmtId="0" fontId="0" fillId="0" borderId="34" xfId="1" applyNumberFormat="1" applyFont="1" applyBorder="1" applyAlignment="1">
      <alignment vertical="center"/>
    </xf>
    <xf numFmtId="0" fontId="0" fillId="0" borderId="11" xfId="1" applyNumberFormat="1" applyFont="1" applyBorder="1" applyAlignment="1"/>
    <xf numFmtId="0" fontId="0" fillId="0" borderId="34" xfId="0" applyNumberFormat="1" applyBorder="1"/>
    <xf numFmtId="0" fontId="0" fillId="0" borderId="34" xfId="1" applyNumberFormat="1" applyFont="1" applyBorder="1" applyAlignment="1"/>
    <xf numFmtId="0" fontId="0" fillId="0" borderId="30" xfId="0" applyNumberFormat="1" applyBorder="1" applyAlignment="1">
      <alignment vertical="center"/>
    </xf>
    <xf numFmtId="0" fontId="0" fillId="0" borderId="3" xfId="1" applyNumberFormat="1" applyFont="1" applyBorder="1" applyAlignment="1">
      <alignment vertical="center"/>
    </xf>
    <xf numFmtId="0" fontId="0" fillId="0" borderId="26" xfId="1" applyNumberFormat="1" applyFont="1" applyBorder="1" applyAlignment="1">
      <alignment vertical="center"/>
    </xf>
    <xf numFmtId="0" fontId="0" fillId="0" borderId="26" xfId="0" applyNumberFormat="1" applyBorder="1" applyAlignment="1">
      <alignment vertical="center"/>
    </xf>
    <xf numFmtId="0" fontId="0" fillId="0" borderId="26" xfId="1" applyNumberFormat="1" applyFont="1" applyBorder="1" applyAlignment="1"/>
    <xf numFmtId="0" fontId="0" fillId="0" borderId="26" xfId="0" applyNumberFormat="1" applyBorder="1"/>
    <xf numFmtId="0" fontId="0" fillId="0" borderId="0" xfId="0" applyNumberFormat="1" applyAlignment="1">
      <alignment horizontal="center"/>
    </xf>
    <xf numFmtId="0" fontId="0" fillId="0" borderId="0" xfId="0" applyNumberFormat="1" applyFill="1" applyAlignment="1"/>
    <xf numFmtId="0" fontId="0" fillId="0" borderId="0" xfId="0" applyNumberFormat="1" applyFill="1" applyBorder="1" applyAlignment="1"/>
    <xf numFmtId="9" fontId="0" fillId="0" borderId="0" xfId="1" applyFont="1" applyFill="1" applyBorder="1" applyAlignment="1"/>
    <xf numFmtId="0" fontId="0" fillId="0" borderId="1" xfId="1" applyNumberFormat="1" applyFon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0" xfId="1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Border="1"/>
    <xf numFmtId="0" fontId="0" fillId="0" borderId="41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9" fontId="0" fillId="0" borderId="39" xfId="1" applyFont="1" applyBorder="1" applyAlignment="1">
      <alignment horizontal="center" vertical="center"/>
    </xf>
    <xf numFmtId="9" fontId="0" fillId="0" borderId="41" xfId="1" applyFont="1" applyBorder="1" applyAlignment="1">
      <alignment horizontal="center" vertical="center"/>
    </xf>
    <xf numFmtId="9" fontId="0" fillId="0" borderId="40" xfId="1" applyFont="1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5" borderId="1" xfId="0" applyNumberFormat="1" applyFill="1" applyBorder="1" applyAlignment="1">
      <alignment horizontal="center"/>
    </xf>
    <xf numFmtId="0" fontId="0" fillId="5" borderId="3" xfId="0" applyNumberFormat="1" applyFill="1" applyBorder="1" applyAlignment="1">
      <alignment horizontal="center"/>
    </xf>
    <xf numFmtId="0" fontId="0" fillId="0" borderId="42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9" fontId="0" fillId="5" borderId="1" xfId="1" applyFont="1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0" fillId="0" borderId="1" xfId="1" applyNumberFormat="1" applyFon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11" xfId="0" applyNumberFormat="1" applyBorder="1" applyAlignment="1">
      <alignment horizontal="center" vertical="center"/>
    </xf>
    <xf numFmtId="0" fontId="0" fillId="5" borderId="2" xfId="0" applyNumberFormat="1" applyFill="1" applyBorder="1" applyAlignment="1">
      <alignment horizontal="center"/>
    </xf>
    <xf numFmtId="0" fontId="0" fillId="5" borderId="12" xfId="0" applyNumberFormat="1" applyFill="1" applyBorder="1" applyAlignment="1">
      <alignment horizontal="center"/>
    </xf>
    <xf numFmtId="0" fontId="0" fillId="0" borderId="1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1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4" borderId="1" xfId="0" applyFill="1" applyBorder="1" applyAlignment="1">
      <alignment horizontal="left" vertical="top"/>
    </xf>
    <xf numFmtId="0" fontId="0" fillId="0" borderId="9" xfId="0" applyBorder="1" applyAlignment="1">
      <alignment horizontal="left" vertical="top"/>
    </xf>
    <xf numFmtId="0" fontId="0" fillId="0" borderId="10" xfId="0" applyBorder="1" applyAlignment="1">
      <alignment horizontal="left" vertical="top"/>
    </xf>
    <xf numFmtId="0" fontId="0" fillId="0" borderId="11" xfId="0" applyBorder="1" applyAlignment="1">
      <alignment horizontal="left" vertical="top"/>
    </xf>
    <xf numFmtId="179" fontId="0" fillId="0" borderId="0" xfId="0" applyNumberFormat="1"/>
    <xf numFmtId="180" fontId="0" fillId="0" borderId="0" xfId="0" applyNumberFormat="1"/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5</xdr:row>
          <xdr:rowOff>152400</xdr:rowOff>
        </xdr:from>
        <xdr:to>
          <xdr:col>6</xdr:col>
          <xdr:colOff>0</xdr:colOff>
          <xdr:row>7</xdr:row>
          <xdr:rowOff>53340</xdr:rowOff>
        </xdr:to>
        <xdr:sp macro="" textlink="">
          <xdr:nvSpPr>
            <xdr:cNvPr id="40961" name="CommandButton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1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0</xdr:row>
          <xdr:rowOff>0</xdr:rowOff>
        </xdr:from>
        <xdr:to>
          <xdr:col>2</xdr:col>
          <xdr:colOff>144780</xdr:colOff>
          <xdr:row>1</xdr:row>
          <xdr:rowOff>45720</xdr:rowOff>
        </xdr:to>
        <xdr:sp macro="" textlink="">
          <xdr:nvSpPr>
            <xdr:cNvPr id="32769" name="CommandButton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0</xdr:row>
          <xdr:rowOff>76200</xdr:rowOff>
        </xdr:from>
        <xdr:to>
          <xdr:col>2</xdr:col>
          <xdr:colOff>541020</xdr:colOff>
          <xdr:row>1</xdr:row>
          <xdr:rowOff>121920</xdr:rowOff>
        </xdr:to>
        <xdr:sp macro="" textlink="">
          <xdr:nvSpPr>
            <xdr:cNvPr id="1025" name="Generati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609600</xdr:colOff>
          <xdr:row>0</xdr:row>
          <xdr:rowOff>0</xdr:rowOff>
        </xdr:from>
        <xdr:to>
          <xdr:col>8</xdr:col>
          <xdr:colOff>472440</xdr:colOff>
          <xdr:row>1</xdr:row>
          <xdr:rowOff>53340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1E213-4EDB-4E09-8C26-262216D8CECA}">
  <sheetPr codeName="project2"/>
  <dimension ref="A1:L514"/>
  <sheetViews>
    <sheetView zoomScale="160" zoomScaleNormal="160" workbookViewId="0">
      <pane ySplit="2" topLeftCell="A3" activePane="bottomLeft" state="frozen"/>
      <selection pane="bottomLeft" activeCell="B37" sqref="B37:D37"/>
    </sheetView>
  </sheetViews>
  <sheetFormatPr defaultRowHeight="17.399999999999999" x14ac:dyDescent="0.4"/>
  <cols>
    <col min="1" max="16384" width="8.796875" style="53"/>
  </cols>
  <sheetData>
    <row r="1" spans="1:12" ht="16.2" customHeight="1" x14ac:dyDescent="0.4">
      <c r="A1" s="53" t="s">
        <v>154</v>
      </c>
      <c r="B1" s="53" t="s">
        <v>147</v>
      </c>
      <c r="C1" s="53" t="s">
        <v>187</v>
      </c>
      <c r="D1" s="53" t="s">
        <v>188</v>
      </c>
      <c r="E1" s="53" t="s">
        <v>133</v>
      </c>
      <c r="F1" s="53" t="s">
        <v>189</v>
      </c>
      <c r="G1" s="53" t="s">
        <v>190</v>
      </c>
      <c r="H1" s="53" t="s">
        <v>191</v>
      </c>
      <c r="I1" s="53" t="s">
        <v>192</v>
      </c>
      <c r="J1" s="53" t="s">
        <v>193</v>
      </c>
      <c r="K1" s="53" t="s">
        <v>194</v>
      </c>
      <c r="L1" s="53" t="s">
        <v>195</v>
      </c>
    </row>
    <row r="2" spans="1:12" x14ac:dyDescent="0.4">
      <c r="B2" s="53" t="s">
        <v>135</v>
      </c>
      <c r="C2" s="53" t="s">
        <v>136</v>
      </c>
      <c r="D2" s="53" t="s">
        <v>137</v>
      </c>
      <c r="E2" s="53" t="s">
        <v>138</v>
      </c>
      <c r="F2" s="53" t="s">
        <v>139</v>
      </c>
      <c r="G2" s="53" t="s">
        <v>140</v>
      </c>
      <c r="J2" s="53" t="s">
        <v>196</v>
      </c>
      <c r="K2" s="53" t="s">
        <v>197</v>
      </c>
      <c r="L2" s="53" t="s">
        <v>198</v>
      </c>
    </row>
    <row r="3" spans="1:12" x14ac:dyDescent="0.4">
      <c r="A3" s="54">
        <v>0</v>
      </c>
      <c r="B3" s="55">
        <v>1</v>
      </c>
      <c r="C3" s="55">
        <v>3</v>
      </c>
      <c r="D3" s="55">
        <v>6</v>
      </c>
      <c r="E3" s="55">
        <v>13</v>
      </c>
      <c r="F3" s="55">
        <v>0</v>
      </c>
      <c r="G3" s="55">
        <v>1546</v>
      </c>
      <c r="H3" s="55">
        <v>1</v>
      </c>
      <c r="I3" s="55">
        <v>100</v>
      </c>
      <c r="J3" s="55">
        <v>30</v>
      </c>
      <c r="K3" s="55">
        <v>40</v>
      </c>
      <c r="L3" s="56">
        <v>30</v>
      </c>
    </row>
    <row r="4" spans="1:12" x14ac:dyDescent="0.4">
      <c r="A4" s="57" t="s">
        <v>134</v>
      </c>
      <c r="B4" s="62">
        <v>4</v>
      </c>
      <c r="C4" s="62"/>
      <c r="D4" s="62"/>
      <c r="E4" s="62"/>
      <c r="F4" s="62"/>
      <c r="G4" s="62"/>
      <c r="H4" s="62"/>
      <c r="I4" s="62"/>
      <c r="J4" s="62">
        <v>1</v>
      </c>
      <c r="K4" s="62">
        <v>7</v>
      </c>
      <c r="L4" s="58">
        <v>13</v>
      </c>
    </row>
    <row r="5" spans="1:12" x14ac:dyDescent="0.4">
      <c r="A5" s="2" t="s">
        <v>141</v>
      </c>
      <c r="B5" s="2">
        <v>3</v>
      </c>
      <c r="C5" s="2">
        <v>1</v>
      </c>
      <c r="D5" s="2">
        <v>3</v>
      </c>
      <c r="E5" s="2">
        <v>1</v>
      </c>
      <c r="F5" s="2">
        <v>0</v>
      </c>
      <c r="G5" s="2">
        <v>0</v>
      </c>
      <c r="H5" s="2"/>
      <c r="I5" s="2"/>
      <c r="J5" s="2"/>
      <c r="K5" s="62"/>
      <c r="L5" s="58"/>
    </row>
    <row r="6" spans="1:12" x14ac:dyDescent="0.4">
      <c r="A6" s="2" t="s">
        <v>142</v>
      </c>
      <c r="B6" s="2">
        <v>10</v>
      </c>
      <c r="C6" s="2">
        <v>4</v>
      </c>
      <c r="D6" s="2">
        <v>13</v>
      </c>
      <c r="E6" s="2">
        <v>0</v>
      </c>
      <c r="F6" s="2">
        <v>1</v>
      </c>
      <c r="G6" s="2">
        <v>0</v>
      </c>
      <c r="H6" s="2"/>
      <c r="I6" s="2"/>
      <c r="J6" s="2"/>
      <c r="K6" s="62"/>
      <c r="L6" s="58"/>
    </row>
    <row r="7" spans="1:12" x14ac:dyDescent="0.4">
      <c r="A7" s="2" t="s">
        <v>143</v>
      </c>
      <c r="B7" s="2">
        <v>4</v>
      </c>
      <c r="C7" s="2">
        <v>9</v>
      </c>
      <c r="D7" s="2">
        <v>13</v>
      </c>
      <c r="E7" s="2">
        <v>0</v>
      </c>
      <c r="F7" s="2">
        <v>1</v>
      </c>
      <c r="G7" s="2">
        <v>0</v>
      </c>
      <c r="H7" s="2"/>
      <c r="I7" s="2"/>
      <c r="J7" s="2"/>
      <c r="K7" s="62"/>
      <c r="L7" s="58"/>
    </row>
    <row r="8" spans="1:12" x14ac:dyDescent="0.4">
      <c r="A8" s="2" t="s">
        <v>144</v>
      </c>
      <c r="B8" s="2">
        <v>3</v>
      </c>
      <c r="C8" s="2">
        <v>5</v>
      </c>
      <c r="D8" s="2">
        <v>8</v>
      </c>
      <c r="E8" s="2">
        <v>0</v>
      </c>
      <c r="F8" s="2">
        <v>1</v>
      </c>
      <c r="G8" s="2">
        <v>0</v>
      </c>
      <c r="H8" s="2"/>
      <c r="I8" s="2"/>
      <c r="J8" s="2"/>
      <c r="K8" s="62"/>
      <c r="L8" s="58"/>
    </row>
    <row r="9" spans="1:12" x14ac:dyDescent="0.4">
      <c r="A9" s="2"/>
      <c r="B9" s="2"/>
      <c r="C9" s="2"/>
      <c r="D9" s="2"/>
      <c r="E9" s="2"/>
      <c r="F9" s="2"/>
      <c r="G9" s="2"/>
      <c r="H9" s="2"/>
      <c r="I9" s="2"/>
      <c r="J9" s="2"/>
      <c r="K9" s="62"/>
      <c r="L9" s="58"/>
    </row>
    <row r="10" spans="1:12" x14ac:dyDescent="0.4">
      <c r="A10" s="2"/>
      <c r="B10" s="2"/>
      <c r="C10" s="2"/>
      <c r="D10" s="2"/>
      <c r="E10" s="2"/>
      <c r="F10" s="2"/>
      <c r="G10" s="2"/>
      <c r="H10" s="2"/>
      <c r="I10" s="2"/>
      <c r="J10" s="2"/>
      <c r="K10" s="60"/>
      <c r="L10" s="61"/>
    </row>
    <row r="11" spans="1:12" x14ac:dyDescent="0.4">
      <c r="A11" s="57">
        <v>0</v>
      </c>
      <c r="B11" s="62">
        <v>2</v>
      </c>
      <c r="C11" s="62">
        <v>4</v>
      </c>
      <c r="D11" s="62">
        <v>7</v>
      </c>
      <c r="E11" s="62">
        <v>24</v>
      </c>
      <c r="F11" s="62">
        <v>0</v>
      </c>
      <c r="G11" s="62">
        <v>2662</v>
      </c>
      <c r="H11" s="62">
        <v>1</v>
      </c>
      <c r="I11" s="62">
        <v>100</v>
      </c>
      <c r="J11" s="62">
        <v>30</v>
      </c>
      <c r="K11" s="55">
        <v>40</v>
      </c>
      <c r="L11" s="56">
        <v>30</v>
      </c>
    </row>
    <row r="12" spans="1:12" x14ac:dyDescent="0.4">
      <c r="A12" s="57" t="s">
        <v>134</v>
      </c>
      <c r="B12" s="62">
        <v>4</v>
      </c>
      <c r="C12" s="62"/>
      <c r="D12" s="62"/>
      <c r="E12" s="62"/>
      <c r="F12" s="62"/>
      <c r="G12" s="62"/>
      <c r="H12" s="62"/>
      <c r="I12" s="62"/>
      <c r="J12" s="62">
        <v>1</v>
      </c>
      <c r="K12" s="62">
        <v>12</v>
      </c>
      <c r="L12" s="58">
        <v>24</v>
      </c>
    </row>
    <row r="13" spans="1:12" x14ac:dyDescent="0.4">
      <c r="A13" s="57" t="s">
        <v>141</v>
      </c>
      <c r="B13" s="62">
        <v>7</v>
      </c>
      <c r="C13" s="62">
        <v>1</v>
      </c>
      <c r="D13" s="62">
        <v>7</v>
      </c>
      <c r="E13" s="62">
        <v>1</v>
      </c>
      <c r="F13" s="62">
        <v>0</v>
      </c>
      <c r="G13" s="62">
        <v>0</v>
      </c>
      <c r="H13" s="62"/>
      <c r="I13" s="62"/>
      <c r="J13" s="62"/>
      <c r="K13" s="62"/>
      <c r="L13" s="58"/>
    </row>
    <row r="14" spans="1:12" x14ac:dyDescent="0.4">
      <c r="A14" s="57" t="s">
        <v>142</v>
      </c>
      <c r="B14" s="62">
        <v>17</v>
      </c>
      <c r="C14" s="62">
        <v>8</v>
      </c>
      <c r="D14" s="62">
        <v>24</v>
      </c>
      <c r="E14" s="62">
        <v>0</v>
      </c>
      <c r="F14" s="62">
        <v>1</v>
      </c>
      <c r="G14" s="62">
        <v>0</v>
      </c>
      <c r="H14" s="62"/>
      <c r="I14" s="62"/>
      <c r="J14" s="62"/>
      <c r="K14" s="62"/>
      <c r="L14" s="58"/>
    </row>
    <row r="15" spans="1:12" x14ac:dyDescent="0.4">
      <c r="A15" s="57" t="s">
        <v>143</v>
      </c>
      <c r="B15" s="62">
        <v>6</v>
      </c>
      <c r="C15" s="62">
        <v>18</v>
      </c>
      <c r="D15" s="62">
        <v>24</v>
      </c>
      <c r="E15" s="62">
        <v>0</v>
      </c>
      <c r="F15" s="62">
        <v>1</v>
      </c>
      <c r="G15" s="62">
        <v>0</v>
      </c>
      <c r="H15" s="62"/>
      <c r="I15" s="62"/>
      <c r="J15" s="62"/>
      <c r="K15" s="62"/>
      <c r="L15" s="58"/>
    </row>
    <row r="16" spans="1:12" x14ac:dyDescent="0.4">
      <c r="A16" s="57" t="s">
        <v>144</v>
      </c>
      <c r="B16" s="62">
        <v>6</v>
      </c>
      <c r="C16" s="62">
        <v>11</v>
      </c>
      <c r="D16" s="62">
        <v>17</v>
      </c>
      <c r="E16" s="62">
        <v>0</v>
      </c>
      <c r="F16" s="62">
        <v>0</v>
      </c>
      <c r="G16" s="62">
        <v>1</v>
      </c>
      <c r="H16" s="62"/>
      <c r="I16" s="62"/>
      <c r="J16" s="62"/>
      <c r="K16" s="62"/>
      <c r="L16" s="58"/>
    </row>
    <row r="17" spans="1:12" x14ac:dyDescent="0.4">
      <c r="A17" s="57"/>
      <c r="B17" s="62"/>
      <c r="C17" s="62"/>
      <c r="D17" s="62"/>
      <c r="E17" s="62"/>
      <c r="F17" s="62"/>
      <c r="G17" s="62"/>
      <c r="H17" s="62"/>
      <c r="I17" s="62"/>
      <c r="J17" s="62"/>
      <c r="K17" s="62"/>
      <c r="L17" s="58"/>
    </row>
    <row r="18" spans="1:12" x14ac:dyDescent="0.4">
      <c r="A18" s="59"/>
      <c r="B18" s="60"/>
      <c r="C18" s="60"/>
      <c r="D18" s="60"/>
      <c r="E18" s="60"/>
      <c r="F18" s="60"/>
      <c r="G18" s="60"/>
      <c r="H18" s="60"/>
      <c r="I18" s="60"/>
      <c r="J18" s="60"/>
      <c r="K18" s="60"/>
      <c r="L18" s="61"/>
    </row>
    <row r="19" spans="1:12" x14ac:dyDescent="0.4">
      <c r="A19" s="54">
        <v>0</v>
      </c>
      <c r="B19" s="55">
        <v>3</v>
      </c>
      <c r="C19" s="55">
        <v>5</v>
      </c>
      <c r="D19" s="55">
        <v>7</v>
      </c>
      <c r="E19" s="55">
        <v>22</v>
      </c>
      <c r="F19" s="55">
        <v>0</v>
      </c>
      <c r="G19" s="55">
        <v>1722</v>
      </c>
      <c r="H19" s="55">
        <v>1</v>
      </c>
      <c r="I19" s="55">
        <v>100</v>
      </c>
      <c r="J19" s="55">
        <v>30</v>
      </c>
      <c r="K19" s="55">
        <v>40</v>
      </c>
      <c r="L19" s="56">
        <v>30</v>
      </c>
    </row>
    <row r="20" spans="1:12" x14ac:dyDescent="0.4">
      <c r="A20" s="57" t="s">
        <v>134</v>
      </c>
      <c r="B20" s="62">
        <v>4</v>
      </c>
      <c r="C20" s="62"/>
      <c r="D20" s="62"/>
      <c r="E20" s="62"/>
      <c r="F20" s="62"/>
      <c r="G20" s="62"/>
      <c r="H20" s="62"/>
      <c r="I20" s="62"/>
      <c r="J20" s="62">
        <v>1</v>
      </c>
      <c r="K20" s="62">
        <v>11</v>
      </c>
      <c r="L20" s="58">
        <v>22</v>
      </c>
    </row>
    <row r="21" spans="1:12" x14ac:dyDescent="0.4">
      <c r="A21" s="57" t="s">
        <v>141</v>
      </c>
      <c r="B21" s="62">
        <v>5</v>
      </c>
      <c r="C21" s="62">
        <v>1</v>
      </c>
      <c r="D21" s="62">
        <v>5</v>
      </c>
      <c r="E21" s="62">
        <v>0</v>
      </c>
      <c r="F21" s="62">
        <v>1</v>
      </c>
      <c r="G21" s="62">
        <v>0</v>
      </c>
      <c r="H21" s="62"/>
      <c r="I21" s="62"/>
      <c r="J21" s="62"/>
      <c r="K21" s="62"/>
      <c r="L21" s="58"/>
    </row>
    <row r="22" spans="1:12" x14ac:dyDescent="0.4">
      <c r="A22" s="57" t="s">
        <v>142</v>
      </c>
      <c r="B22" s="62">
        <v>17</v>
      </c>
      <c r="C22" s="62">
        <v>6</v>
      </c>
      <c r="D22" s="62">
        <v>22</v>
      </c>
      <c r="E22" s="62">
        <v>0</v>
      </c>
      <c r="F22" s="62">
        <v>0</v>
      </c>
      <c r="G22" s="62">
        <v>1</v>
      </c>
      <c r="H22" s="62"/>
      <c r="I22" s="62"/>
      <c r="J22" s="62"/>
      <c r="K22" s="62"/>
      <c r="L22" s="58"/>
    </row>
    <row r="23" spans="1:12" x14ac:dyDescent="0.4">
      <c r="A23" s="57" t="s">
        <v>143</v>
      </c>
      <c r="B23" s="62">
        <v>5</v>
      </c>
      <c r="C23" s="62">
        <v>17</v>
      </c>
      <c r="D23" s="62">
        <v>22</v>
      </c>
      <c r="E23" s="62">
        <v>0</v>
      </c>
      <c r="F23" s="62">
        <v>0</v>
      </c>
      <c r="G23" s="62">
        <v>1</v>
      </c>
      <c r="H23" s="62"/>
      <c r="I23" s="62"/>
      <c r="J23" s="62"/>
      <c r="K23" s="62"/>
      <c r="L23" s="58"/>
    </row>
    <row r="24" spans="1:12" x14ac:dyDescent="0.4">
      <c r="A24" s="57" t="s">
        <v>144</v>
      </c>
      <c r="B24" s="62">
        <v>4</v>
      </c>
      <c r="C24" s="62">
        <v>12</v>
      </c>
      <c r="D24" s="62">
        <v>16</v>
      </c>
      <c r="E24" s="62">
        <v>0</v>
      </c>
      <c r="F24" s="62">
        <v>1</v>
      </c>
      <c r="G24" s="62">
        <v>0</v>
      </c>
      <c r="H24" s="62"/>
      <c r="I24" s="62"/>
      <c r="J24" s="62"/>
      <c r="K24" s="62"/>
      <c r="L24" s="58"/>
    </row>
    <row r="25" spans="1:12" x14ac:dyDescent="0.4">
      <c r="A25" s="57"/>
      <c r="B25" s="62"/>
      <c r="C25" s="62"/>
      <c r="D25" s="62"/>
      <c r="E25" s="62"/>
      <c r="F25" s="62"/>
      <c r="G25" s="62"/>
      <c r="H25" s="62"/>
      <c r="I25" s="62"/>
      <c r="J25" s="62"/>
      <c r="K25" s="62"/>
      <c r="L25" s="58"/>
    </row>
    <row r="26" spans="1:12" x14ac:dyDescent="0.4">
      <c r="A26" s="59"/>
      <c r="B26" s="60"/>
      <c r="C26" s="60"/>
      <c r="D26" s="60"/>
      <c r="E26" s="60"/>
      <c r="F26" s="60"/>
      <c r="G26" s="60"/>
      <c r="H26" s="60"/>
      <c r="I26" s="60"/>
      <c r="J26" s="60"/>
      <c r="K26" s="60"/>
      <c r="L26" s="61"/>
    </row>
    <row r="27" spans="1:12" x14ac:dyDescent="0.4">
      <c r="A27" s="54">
        <v>0</v>
      </c>
      <c r="B27" s="55">
        <v>4</v>
      </c>
      <c r="C27" s="55">
        <v>6</v>
      </c>
      <c r="D27" s="55">
        <v>8</v>
      </c>
      <c r="E27" s="55">
        <v>3</v>
      </c>
      <c r="F27" s="55">
        <v>0</v>
      </c>
      <c r="G27" s="55">
        <v>288</v>
      </c>
      <c r="H27" s="55">
        <v>1</v>
      </c>
      <c r="I27" s="55">
        <v>100</v>
      </c>
      <c r="J27" s="55">
        <v>40</v>
      </c>
      <c r="K27" s="55">
        <v>60</v>
      </c>
      <c r="L27" s="56"/>
    </row>
    <row r="28" spans="1:12" x14ac:dyDescent="0.4">
      <c r="A28" s="57" t="s">
        <v>134</v>
      </c>
      <c r="B28" s="62">
        <v>1</v>
      </c>
      <c r="C28" s="62"/>
      <c r="D28" s="62"/>
      <c r="E28" s="62"/>
      <c r="F28" s="62"/>
      <c r="G28" s="62"/>
      <c r="H28" s="62"/>
      <c r="I28" s="62"/>
      <c r="J28" s="62">
        <v>1</v>
      </c>
      <c r="K28" s="62">
        <v>3</v>
      </c>
      <c r="L28" s="58">
        <v>0</v>
      </c>
    </row>
    <row r="29" spans="1:12" x14ac:dyDescent="0.4">
      <c r="A29" s="57" t="s">
        <v>141</v>
      </c>
      <c r="B29" s="62">
        <v>3</v>
      </c>
      <c r="C29" s="62">
        <v>1</v>
      </c>
      <c r="D29" s="62">
        <v>3</v>
      </c>
      <c r="E29" s="62">
        <v>1</v>
      </c>
      <c r="F29" s="62">
        <v>0</v>
      </c>
      <c r="G29" s="62">
        <v>0</v>
      </c>
      <c r="H29" s="62"/>
      <c r="I29" s="62"/>
      <c r="J29" s="62"/>
      <c r="K29" s="62"/>
      <c r="L29" s="58"/>
    </row>
    <row r="30" spans="1:12" x14ac:dyDescent="0.4">
      <c r="A30" s="57" t="s">
        <v>142</v>
      </c>
      <c r="B30" s="62">
        <v>0</v>
      </c>
      <c r="C30" s="62">
        <v>0</v>
      </c>
      <c r="D30" s="62">
        <v>0</v>
      </c>
      <c r="E30" s="62">
        <v>0</v>
      </c>
      <c r="F30" s="62">
        <v>0</v>
      </c>
      <c r="G30" s="62">
        <v>0</v>
      </c>
      <c r="H30" s="62"/>
      <c r="I30" s="62"/>
      <c r="J30" s="62"/>
      <c r="K30" s="62"/>
      <c r="L30" s="58"/>
    </row>
    <row r="31" spans="1:12" x14ac:dyDescent="0.4">
      <c r="A31" s="57" t="s">
        <v>143</v>
      </c>
      <c r="B31" s="62">
        <v>0</v>
      </c>
      <c r="C31" s="62">
        <v>0</v>
      </c>
      <c r="D31" s="62">
        <v>0</v>
      </c>
      <c r="E31" s="62">
        <v>0</v>
      </c>
      <c r="F31" s="62">
        <v>0</v>
      </c>
      <c r="G31" s="62">
        <v>0</v>
      </c>
      <c r="H31" s="62"/>
      <c r="I31" s="62"/>
      <c r="J31" s="62"/>
      <c r="K31" s="62"/>
      <c r="L31" s="58"/>
    </row>
    <row r="32" spans="1:12" x14ac:dyDescent="0.4">
      <c r="A32" s="57" t="s">
        <v>144</v>
      </c>
      <c r="B32" s="62">
        <v>0</v>
      </c>
      <c r="C32" s="62">
        <v>0</v>
      </c>
      <c r="D32" s="62">
        <v>0</v>
      </c>
      <c r="E32" s="62">
        <v>0</v>
      </c>
      <c r="F32" s="62">
        <v>0</v>
      </c>
      <c r="G32" s="62">
        <v>0</v>
      </c>
      <c r="H32" s="62"/>
      <c r="I32" s="62"/>
      <c r="J32" s="62"/>
      <c r="K32" s="62"/>
      <c r="L32" s="58"/>
    </row>
    <row r="33" spans="1:12" x14ac:dyDescent="0.4">
      <c r="A33" s="57"/>
      <c r="B33" s="62"/>
      <c r="C33" s="62"/>
      <c r="D33" s="62"/>
      <c r="E33" s="62"/>
      <c r="F33" s="62"/>
      <c r="G33" s="62"/>
      <c r="H33" s="62"/>
      <c r="I33" s="62"/>
      <c r="J33" s="62"/>
      <c r="K33" s="62"/>
      <c r="L33" s="58"/>
    </row>
    <row r="34" spans="1:12" x14ac:dyDescent="0.4">
      <c r="A34" s="59"/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1"/>
    </row>
    <row r="35" spans="1:12" x14ac:dyDescent="0.4">
      <c r="A35" s="54">
        <v>0</v>
      </c>
      <c r="B35" s="55">
        <v>5</v>
      </c>
      <c r="C35" s="55">
        <v>6</v>
      </c>
      <c r="D35" s="55">
        <v>7</v>
      </c>
      <c r="E35" s="55">
        <v>4</v>
      </c>
      <c r="F35" s="55">
        <v>0</v>
      </c>
      <c r="G35" s="55">
        <v>192</v>
      </c>
      <c r="H35" s="55">
        <v>1</v>
      </c>
      <c r="I35" s="55">
        <v>100</v>
      </c>
      <c r="J35" s="55">
        <v>40</v>
      </c>
      <c r="K35" s="55">
        <v>60</v>
      </c>
      <c r="L35" s="56"/>
    </row>
    <row r="36" spans="1:12" x14ac:dyDescent="0.4">
      <c r="A36" s="57" t="s">
        <v>134</v>
      </c>
      <c r="B36" s="62">
        <v>1</v>
      </c>
      <c r="C36" s="62"/>
      <c r="D36" s="62"/>
      <c r="E36" s="62"/>
      <c r="F36" s="62"/>
      <c r="G36" s="62"/>
      <c r="H36" s="62"/>
      <c r="I36" s="62"/>
      <c r="J36" s="62">
        <v>1</v>
      </c>
      <c r="K36" s="62">
        <v>4</v>
      </c>
      <c r="L36" s="58">
        <v>0</v>
      </c>
    </row>
    <row r="37" spans="1:12" x14ac:dyDescent="0.4">
      <c r="A37" s="57" t="s">
        <v>141</v>
      </c>
      <c r="B37" s="62">
        <v>4</v>
      </c>
      <c r="C37" s="62">
        <v>1</v>
      </c>
      <c r="D37" s="62">
        <v>4</v>
      </c>
      <c r="E37" s="62">
        <v>0</v>
      </c>
      <c r="F37" s="62">
        <v>0</v>
      </c>
      <c r="G37" s="62">
        <v>1</v>
      </c>
      <c r="H37" s="62"/>
      <c r="I37" s="62"/>
      <c r="J37" s="62"/>
      <c r="K37" s="62"/>
      <c r="L37" s="58"/>
    </row>
    <row r="38" spans="1:12" x14ac:dyDescent="0.4">
      <c r="A38" s="57" t="s">
        <v>142</v>
      </c>
      <c r="B38" s="62">
        <v>0</v>
      </c>
      <c r="C38" s="62">
        <v>0</v>
      </c>
      <c r="D38" s="62">
        <v>0</v>
      </c>
      <c r="E38" s="62">
        <v>0</v>
      </c>
      <c r="F38" s="62">
        <v>0</v>
      </c>
      <c r="G38" s="62">
        <v>0</v>
      </c>
      <c r="H38" s="62"/>
      <c r="I38" s="62"/>
      <c r="J38" s="62"/>
      <c r="K38" s="62"/>
      <c r="L38" s="58"/>
    </row>
    <row r="39" spans="1:12" x14ac:dyDescent="0.4">
      <c r="A39" s="57" t="s">
        <v>143</v>
      </c>
      <c r="B39" s="62">
        <v>0</v>
      </c>
      <c r="C39" s="62">
        <v>0</v>
      </c>
      <c r="D39" s="62">
        <v>0</v>
      </c>
      <c r="E39" s="62">
        <v>0</v>
      </c>
      <c r="F39" s="62">
        <v>0</v>
      </c>
      <c r="G39" s="62">
        <v>0</v>
      </c>
      <c r="H39" s="62"/>
      <c r="I39" s="62"/>
      <c r="J39" s="62"/>
      <c r="K39" s="62"/>
      <c r="L39" s="58"/>
    </row>
    <row r="40" spans="1:12" x14ac:dyDescent="0.4">
      <c r="A40" s="57" t="s">
        <v>144</v>
      </c>
      <c r="B40" s="62">
        <v>0</v>
      </c>
      <c r="C40" s="62">
        <v>0</v>
      </c>
      <c r="D40" s="62">
        <v>0</v>
      </c>
      <c r="E40" s="62">
        <v>0</v>
      </c>
      <c r="F40" s="62">
        <v>0</v>
      </c>
      <c r="G40" s="62">
        <v>0</v>
      </c>
      <c r="H40" s="62"/>
      <c r="I40" s="62"/>
      <c r="J40" s="62"/>
      <c r="K40" s="62"/>
      <c r="L40" s="58"/>
    </row>
    <row r="41" spans="1:12" x14ac:dyDescent="0.4">
      <c r="A41" s="57"/>
      <c r="B41" s="62"/>
      <c r="C41" s="62"/>
      <c r="D41" s="62"/>
      <c r="E41" s="62"/>
      <c r="F41" s="62"/>
      <c r="G41" s="62"/>
      <c r="H41" s="62"/>
      <c r="I41" s="62"/>
      <c r="J41" s="62"/>
      <c r="K41" s="62"/>
      <c r="L41" s="58"/>
    </row>
    <row r="42" spans="1:12" x14ac:dyDescent="0.4">
      <c r="A42" s="59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1"/>
    </row>
    <row r="43" spans="1:12" x14ac:dyDescent="0.4">
      <c r="A43" s="54">
        <v>0</v>
      </c>
      <c r="B43" s="55">
        <v>6</v>
      </c>
      <c r="C43" s="55">
        <v>6</v>
      </c>
      <c r="D43" s="55">
        <v>6</v>
      </c>
      <c r="E43" s="55">
        <v>11</v>
      </c>
      <c r="F43" s="55">
        <v>0</v>
      </c>
      <c r="G43" s="55">
        <v>606</v>
      </c>
      <c r="H43" s="55">
        <v>1</v>
      </c>
      <c r="I43" s="55">
        <v>100</v>
      </c>
      <c r="J43" s="55">
        <v>30</v>
      </c>
      <c r="K43" s="55">
        <v>30</v>
      </c>
      <c r="L43" s="56">
        <v>40</v>
      </c>
    </row>
    <row r="44" spans="1:12" x14ac:dyDescent="0.4">
      <c r="A44" s="57" t="s">
        <v>134</v>
      </c>
      <c r="B44" s="62">
        <v>2</v>
      </c>
      <c r="C44" s="62"/>
      <c r="D44" s="62"/>
      <c r="E44" s="62"/>
      <c r="F44" s="62"/>
      <c r="G44" s="62"/>
      <c r="H44" s="62"/>
      <c r="I44" s="62"/>
      <c r="J44" s="62">
        <v>1</v>
      </c>
      <c r="K44" s="62">
        <v>6</v>
      </c>
      <c r="L44" s="58">
        <v>11</v>
      </c>
    </row>
    <row r="45" spans="1:12" x14ac:dyDescent="0.4">
      <c r="A45" s="57" t="s">
        <v>141</v>
      </c>
      <c r="B45" s="62">
        <v>3</v>
      </c>
      <c r="C45" s="62">
        <v>1</v>
      </c>
      <c r="D45" s="62">
        <v>3</v>
      </c>
      <c r="E45" s="62">
        <v>0</v>
      </c>
      <c r="F45" s="62">
        <v>1</v>
      </c>
      <c r="G45" s="62">
        <v>0</v>
      </c>
      <c r="H45" s="62"/>
      <c r="I45" s="62"/>
      <c r="J45" s="62"/>
      <c r="K45" s="62"/>
      <c r="L45" s="58"/>
    </row>
    <row r="46" spans="1:12" x14ac:dyDescent="0.4">
      <c r="A46" s="57" t="s">
        <v>142</v>
      </c>
      <c r="B46" s="62">
        <v>8</v>
      </c>
      <c r="C46" s="62">
        <v>4</v>
      </c>
      <c r="D46" s="62">
        <v>11</v>
      </c>
      <c r="E46" s="62">
        <v>0</v>
      </c>
      <c r="F46" s="62">
        <v>0</v>
      </c>
      <c r="G46" s="62">
        <v>1</v>
      </c>
      <c r="H46" s="62"/>
      <c r="I46" s="62"/>
      <c r="J46" s="62"/>
      <c r="K46" s="62"/>
      <c r="L46" s="58"/>
    </row>
    <row r="47" spans="1:12" x14ac:dyDescent="0.4">
      <c r="A47" s="57" t="s">
        <v>143</v>
      </c>
      <c r="B47" s="62">
        <v>0</v>
      </c>
      <c r="C47" s="62">
        <v>0</v>
      </c>
      <c r="D47" s="62">
        <v>0</v>
      </c>
      <c r="E47" s="62">
        <v>0</v>
      </c>
      <c r="F47" s="62">
        <v>0</v>
      </c>
      <c r="G47" s="62">
        <v>0</v>
      </c>
      <c r="H47" s="62"/>
      <c r="I47" s="62"/>
      <c r="J47" s="62"/>
      <c r="K47" s="62"/>
      <c r="L47" s="58"/>
    </row>
    <row r="48" spans="1:12" x14ac:dyDescent="0.4">
      <c r="A48" s="57" t="s">
        <v>144</v>
      </c>
      <c r="B48" s="62">
        <v>0</v>
      </c>
      <c r="C48" s="62">
        <v>0</v>
      </c>
      <c r="D48" s="62">
        <v>0</v>
      </c>
      <c r="E48" s="62">
        <v>0</v>
      </c>
      <c r="F48" s="62">
        <v>0</v>
      </c>
      <c r="G48" s="62">
        <v>0</v>
      </c>
      <c r="H48" s="62"/>
      <c r="I48" s="62"/>
      <c r="J48" s="62"/>
      <c r="K48" s="62"/>
      <c r="L48" s="58"/>
    </row>
    <row r="49" spans="1:12" x14ac:dyDescent="0.4">
      <c r="A49" s="57"/>
      <c r="B49" s="62"/>
      <c r="C49" s="62"/>
      <c r="D49" s="62"/>
      <c r="E49" s="62"/>
      <c r="F49" s="62"/>
      <c r="G49" s="62"/>
      <c r="H49" s="62"/>
      <c r="I49" s="62"/>
      <c r="J49" s="62"/>
      <c r="K49" s="62"/>
      <c r="L49" s="58"/>
    </row>
    <row r="50" spans="1:12" x14ac:dyDescent="0.4">
      <c r="A50" s="59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1"/>
    </row>
    <row r="51" spans="1:12" x14ac:dyDescent="0.4">
      <c r="A51" s="54">
        <v>0</v>
      </c>
      <c r="B51" s="55">
        <v>7</v>
      </c>
      <c r="C51" s="55">
        <v>7</v>
      </c>
      <c r="D51" s="55">
        <v>9</v>
      </c>
      <c r="E51" s="55">
        <v>4</v>
      </c>
      <c r="F51" s="55">
        <v>0</v>
      </c>
      <c r="G51" s="55">
        <v>384</v>
      </c>
      <c r="H51" s="55">
        <v>1</v>
      </c>
      <c r="I51" s="55">
        <v>100</v>
      </c>
      <c r="J51" s="55">
        <v>30</v>
      </c>
      <c r="K51" s="55">
        <v>70</v>
      </c>
      <c r="L51" s="56"/>
    </row>
    <row r="52" spans="1:12" x14ac:dyDescent="0.4">
      <c r="A52" s="57" t="s">
        <v>134</v>
      </c>
      <c r="B52" s="62">
        <v>1</v>
      </c>
      <c r="C52" s="62"/>
      <c r="D52" s="62"/>
      <c r="E52" s="62"/>
      <c r="F52" s="62"/>
      <c r="G52" s="62"/>
      <c r="H52" s="62"/>
      <c r="I52" s="62"/>
      <c r="J52" s="62">
        <v>1</v>
      </c>
      <c r="K52" s="62">
        <v>4</v>
      </c>
      <c r="L52" s="58">
        <v>0</v>
      </c>
    </row>
    <row r="53" spans="1:12" x14ac:dyDescent="0.4">
      <c r="A53" s="57" t="s">
        <v>141</v>
      </c>
      <c r="B53" s="62">
        <v>4</v>
      </c>
      <c r="C53" s="62">
        <v>1</v>
      </c>
      <c r="D53" s="62">
        <v>4</v>
      </c>
      <c r="E53" s="62">
        <v>1</v>
      </c>
      <c r="F53" s="62">
        <v>0</v>
      </c>
      <c r="G53" s="62">
        <v>0</v>
      </c>
      <c r="H53" s="62"/>
      <c r="I53" s="62"/>
      <c r="J53" s="62"/>
      <c r="K53" s="62"/>
      <c r="L53" s="58"/>
    </row>
    <row r="54" spans="1:12" x14ac:dyDescent="0.4">
      <c r="A54" s="57" t="s">
        <v>142</v>
      </c>
      <c r="B54" s="62">
        <v>0</v>
      </c>
      <c r="C54" s="62">
        <v>0</v>
      </c>
      <c r="D54" s="62">
        <v>0</v>
      </c>
      <c r="E54" s="62">
        <v>0</v>
      </c>
      <c r="F54" s="62">
        <v>0</v>
      </c>
      <c r="G54" s="62">
        <v>0</v>
      </c>
      <c r="H54" s="62"/>
      <c r="I54" s="62"/>
      <c r="J54" s="62"/>
      <c r="K54" s="62"/>
      <c r="L54" s="58"/>
    </row>
    <row r="55" spans="1:12" x14ac:dyDescent="0.4">
      <c r="A55" s="57" t="s">
        <v>143</v>
      </c>
      <c r="B55" s="62">
        <v>0</v>
      </c>
      <c r="C55" s="62">
        <v>0</v>
      </c>
      <c r="D55" s="62">
        <v>0</v>
      </c>
      <c r="E55" s="62">
        <v>0</v>
      </c>
      <c r="F55" s="62">
        <v>0</v>
      </c>
      <c r="G55" s="62">
        <v>0</v>
      </c>
      <c r="H55" s="62"/>
      <c r="I55" s="62"/>
      <c r="J55" s="62"/>
      <c r="K55" s="62"/>
      <c r="L55" s="58"/>
    </row>
    <row r="56" spans="1:12" x14ac:dyDescent="0.4">
      <c r="A56" s="57" t="s">
        <v>144</v>
      </c>
      <c r="B56" s="62">
        <v>0</v>
      </c>
      <c r="C56" s="62">
        <v>0</v>
      </c>
      <c r="D56" s="62">
        <v>0</v>
      </c>
      <c r="E56" s="62">
        <v>0</v>
      </c>
      <c r="F56" s="62">
        <v>0</v>
      </c>
      <c r="G56" s="62">
        <v>0</v>
      </c>
      <c r="H56" s="62"/>
      <c r="I56" s="62"/>
      <c r="J56" s="62"/>
      <c r="K56" s="62"/>
      <c r="L56" s="58"/>
    </row>
    <row r="57" spans="1:12" x14ac:dyDescent="0.4">
      <c r="A57" s="57"/>
      <c r="B57" s="62"/>
      <c r="C57" s="62"/>
      <c r="D57" s="62"/>
      <c r="E57" s="62"/>
      <c r="F57" s="62"/>
      <c r="G57" s="62"/>
      <c r="H57" s="62"/>
      <c r="I57" s="62"/>
      <c r="J57" s="62"/>
      <c r="K57" s="62"/>
      <c r="L57" s="58"/>
    </row>
    <row r="58" spans="1:12" x14ac:dyDescent="0.4">
      <c r="A58" s="59"/>
      <c r="B58" s="60"/>
      <c r="C58" s="60"/>
      <c r="D58" s="60"/>
      <c r="E58" s="60"/>
      <c r="F58" s="60"/>
      <c r="G58" s="60"/>
      <c r="H58" s="60"/>
      <c r="I58" s="60"/>
      <c r="J58" s="60"/>
      <c r="K58" s="60"/>
      <c r="L58" s="61"/>
    </row>
    <row r="59" spans="1:12" x14ac:dyDescent="0.4">
      <c r="A59" s="54">
        <v>0</v>
      </c>
      <c r="B59" s="55">
        <v>8</v>
      </c>
      <c r="C59" s="55">
        <v>8</v>
      </c>
      <c r="D59" s="55">
        <v>8</v>
      </c>
      <c r="E59" s="55">
        <v>6</v>
      </c>
      <c r="F59" s="55">
        <v>0</v>
      </c>
      <c r="G59" s="55">
        <v>418</v>
      </c>
      <c r="H59" s="55">
        <v>1</v>
      </c>
      <c r="I59" s="55">
        <v>100</v>
      </c>
      <c r="J59" s="55">
        <v>30</v>
      </c>
      <c r="K59" s="55">
        <v>30</v>
      </c>
      <c r="L59" s="56">
        <v>40</v>
      </c>
    </row>
    <row r="60" spans="1:12" x14ac:dyDescent="0.4">
      <c r="A60" s="57" t="s">
        <v>134</v>
      </c>
      <c r="B60" s="62">
        <v>2</v>
      </c>
      <c r="C60" s="62"/>
      <c r="D60" s="62"/>
      <c r="E60" s="62"/>
      <c r="F60" s="62"/>
      <c r="G60" s="62"/>
      <c r="H60" s="62"/>
      <c r="I60" s="62"/>
      <c r="J60" s="62">
        <v>1</v>
      </c>
      <c r="K60" s="62">
        <v>3</v>
      </c>
      <c r="L60" s="58">
        <v>6</v>
      </c>
    </row>
    <row r="61" spans="1:12" x14ac:dyDescent="0.4">
      <c r="A61" s="57" t="s">
        <v>141</v>
      </c>
      <c r="B61" s="62">
        <v>1</v>
      </c>
      <c r="C61" s="62">
        <v>1</v>
      </c>
      <c r="D61" s="62">
        <v>1</v>
      </c>
      <c r="E61" s="62">
        <v>0</v>
      </c>
      <c r="F61" s="62">
        <v>0</v>
      </c>
      <c r="G61" s="62">
        <v>1</v>
      </c>
      <c r="H61" s="62"/>
      <c r="I61" s="62"/>
      <c r="J61" s="62"/>
      <c r="K61" s="62"/>
      <c r="L61" s="58"/>
    </row>
    <row r="62" spans="1:12" x14ac:dyDescent="0.4">
      <c r="A62" s="57" t="s">
        <v>142</v>
      </c>
      <c r="B62" s="62">
        <v>5</v>
      </c>
      <c r="C62" s="62">
        <v>2</v>
      </c>
      <c r="D62" s="62">
        <v>6</v>
      </c>
      <c r="E62" s="62">
        <v>0</v>
      </c>
      <c r="F62" s="62">
        <v>1</v>
      </c>
      <c r="G62" s="62">
        <v>0</v>
      </c>
      <c r="H62" s="62"/>
      <c r="I62" s="62"/>
      <c r="J62" s="62"/>
      <c r="K62" s="62"/>
      <c r="L62" s="58"/>
    </row>
    <row r="63" spans="1:12" x14ac:dyDescent="0.4">
      <c r="A63" s="57" t="s">
        <v>143</v>
      </c>
      <c r="B63" s="62">
        <v>0</v>
      </c>
      <c r="C63" s="62">
        <v>0</v>
      </c>
      <c r="D63" s="62">
        <v>0</v>
      </c>
      <c r="E63" s="62">
        <v>0</v>
      </c>
      <c r="F63" s="62">
        <v>0</v>
      </c>
      <c r="G63" s="62">
        <v>0</v>
      </c>
      <c r="H63" s="62"/>
      <c r="I63" s="62"/>
      <c r="J63" s="62"/>
      <c r="K63" s="62"/>
      <c r="L63" s="58"/>
    </row>
    <row r="64" spans="1:12" x14ac:dyDescent="0.4">
      <c r="A64" s="57" t="s">
        <v>144</v>
      </c>
      <c r="B64" s="62">
        <v>0</v>
      </c>
      <c r="C64" s="62">
        <v>0</v>
      </c>
      <c r="D64" s="62">
        <v>0</v>
      </c>
      <c r="E64" s="62">
        <v>0</v>
      </c>
      <c r="F64" s="62">
        <v>0</v>
      </c>
      <c r="G64" s="62">
        <v>0</v>
      </c>
      <c r="H64" s="62"/>
      <c r="I64" s="62"/>
      <c r="J64" s="62"/>
      <c r="K64" s="62"/>
      <c r="L64" s="58"/>
    </row>
    <row r="65" spans="1:12" x14ac:dyDescent="0.4">
      <c r="A65" s="57"/>
      <c r="B65" s="62"/>
      <c r="C65" s="62"/>
      <c r="D65" s="62"/>
      <c r="E65" s="62"/>
      <c r="F65" s="62"/>
      <c r="G65" s="62"/>
      <c r="H65" s="62"/>
      <c r="I65" s="62"/>
      <c r="J65" s="62"/>
      <c r="K65" s="62"/>
      <c r="L65" s="58"/>
    </row>
    <row r="66" spans="1:12" x14ac:dyDescent="0.4">
      <c r="A66" s="59"/>
      <c r="B66" s="60"/>
      <c r="C66" s="60"/>
      <c r="D66" s="60"/>
      <c r="E66" s="60"/>
      <c r="F66" s="60"/>
      <c r="G66" s="60"/>
      <c r="H66" s="60"/>
      <c r="I66" s="60"/>
      <c r="J66" s="60"/>
      <c r="K66" s="60"/>
      <c r="L66" s="61"/>
    </row>
    <row r="67" spans="1:12" x14ac:dyDescent="0.4">
      <c r="A67" s="54">
        <v>0</v>
      </c>
      <c r="B67" s="55">
        <v>9</v>
      </c>
      <c r="C67" s="55">
        <v>8</v>
      </c>
      <c r="D67" s="55">
        <v>9</v>
      </c>
      <c r="E67" s="55">
        <v>2</v>
      </c>
      <c r="F67" s="55">
        <v>0</v>
      </c>
      <c r="G67" s="55">
        <v>192</v>
      </c>
      <c r="H67" s="55">
        <v>1</v>
      </c>
      <c r="I67" s="55">
        <v>100</v>
      </c>
      <c r="J67" s="55">
        <v>50</v>
      </c>
      <c r="K67" s="55">
        <v>50</v>
      </c>
      <c r="L67" s="56"/>
    </row>
    <row r="68" spans="1:12" x14ac:dyDescent="0.4">
      <c r="A68" s="57" t="s">
        <v>134</v>
      </c>
      <c r="B68" s="62">
        <v>1</v>
      </c>
      <c r="C68" s="62"/>
      <c r="D68" s="62"/>
      <c r="E68" s="62"/>
      <c r="F68" s="62"/>
      <c r="G68" s="62"/>
      <c r="H68" s="62"/>
      <c r="I68" s="62"/>
      <c r="J68" s="62">
        <v>1</v>
      </c>
      <c r="K68" s="62">
        <v>2</v>
      </c>
      <c r="L68" s="58">
        <v>0</v>
      </c>
    </row>
    <row r="69" spans="1:12" x14ac:dyDescent="0.4">
      <c r="A69" s="57" t="s">
        <v>141</v>
      </c>
      <c r="B69" s="62">
        <v>2</v>
      </c>
      <c r="C69" s="62">
        <v>1</v>
      </c>
      <c r="D69" s="62">
        <v>2</v>
      </c>
      <c r="E69" s="62">
        <v>1</v>
      </c>
      <c r="F69" s="62">
        <v>0</v>
      </c>
      <c r="G69" s="62">
        <v>0</v>
      </c>
      <c r="H69" s="62"/>
      <c r="I69" s="62"/>
      <c r="J69" s="62"/>
      <c r="K69" s="62"/>
      <c r="L69" s="58"/>
    </row>
    <row r="70" spans="1:12" x14ac:dyDescent="0.4">
      <c r="A70" s="57" t="s">
        <v>142</v>
      </c>
      <c r="B70" s="62">
        <v>0</v>
      </c>
      <c r="C70" s="62">
        <v>0</v>
      </c>
      <c r="D70" s="62">
        <v>0</v>
      </c>
      <c r="E70" s="62">
        <v>0</v>
      </c>
      <c r="F70" s="62">
        <v>0</v>
      </c>
      <c r="G70" s="62">
        <v>0</v>
      </c>
      <c r="H70" s="62"/>
      <c r="I70" s="62"/>
      <c r="J70" s="62"/>
      <c r="K70" s="62"/>
      <c r="L70" s="58"/>
    </row>
    <row r="71" spans="1:12" x14ac:dyDescent="0.4">
      <c r="A71" s="57" t="s">
        <v>143</v>
      </c>
      <c r="B71" s="62">
        <v>0</v>
      </c>
      <c r="C71" s="62">
        <v>0</v>
      </c>
      <c r="D71" s="62">
        <v>0</v>
      </c>
      <c r="E71" s="62">
        <v>0</v>
      </c>
      <c r="F71" s="62">
        <v>0</v>
      </c>
      <c r="G71" s="62">
        <v>0</v>
      </c>
      <c r="H71" s="62"/>
      <c r="I71" s="62"/>
      <c r="J71" s="62"/>
      <c r="K71" s="62"/>
      <c r="L71" s="58"/>
    </row>
    <row r="72" spans="1:12" x14ac:dyDescent="0.4">
      <c r="A72" s="57" t="s">
        <v>144</v>
      </c>
      <c r="B72" s="62">
        <v>0</v>
      </c>
      <c r="C72" s="62">
        <v>0</v>
      </c>
      <c r="D72" s="62">
        <v>0</v>
      </c>
      <c r="E72" s="62">
        <v>0</v>
      </c>
      <c r="F72" s="62">
        <v>0</v>
      </c>
      <c r="G72" s="62">
        <v>0</v>
      </c>
      <c r="H72" s="62"/>
      <c r="I72" s="62"/>
      <c r="J72" s="62"/>
      <c r="K72" s="62"/>
      <c r="L72" s="58"/>
    </row>
    <row r="73" spans="1:12" x14ac:dyDescent="0.4">
      <c r="A73" s="57"/>
      <c r="B73" s="62"/>
      <c r="C73" s="62"/>
      <c r="D73" s="62"/>
      <c r="E73" s="62"/>
      <c r="F73" s="62"/>
      <c r="G73" s="62"/>
      <c r="H73" s="62"/>
      <c r="I73" s="62"/>
      <c r="J73" s="62"/>
      <c r="K73" s="62"/>
      <c r="L73" s="58"/>
    </row>
    <row r="74" spans="1:12" x14ac:dyDescent="0.4">
      <c r="A74" s="59"/>
      <c r="B74" s="60"/>
      <c r="C74" s="60"/>
      <c r="D74" s="60"/>
      <c r="E74" s="60"/>
      <c r="F74" s="60"/>
      <c r="G74" s="60"/>
      <c r="H74" s="60"/>
      <c r="I74" s="60"/>
      <c r="J74" s="60"/>
      <c r="K74" s="60"/>
      <c r="L74" s="61"/>
    </row>
    <row r="75" spans="1:12" x14ac:dyDescent="0.4">
      <c r="A75" s="54">
        <v>0</v>
      </c>
      <c r="B75" s="55">
        <v>10</v>
      </c>
      <c r="C75" s="55">
        <v>8</v>
      </c>
      <c r="D75" s="55">
        <v>8</v>
      </c>
      <c r="E75" s="55">
        <v>23</v>
      </c>
      <c r="F75" s="55">
        <v>0</v>
      </c>
      <c r="G75" s="55">
        <v>1974</v>
      </c>
      <c r="H75" s="55">
        <v>1</v>
      </c>
      <c r="I75" s="55">
        <v>100</v>
      </c>
      <c r="J75" s="55">
        <v>30</v>
      </c>
      <c r="K75" s="55">
        <v>40</v>
      </c>
      <c r="L75" s="56">
        <v>30</v>
      </c>
    </row>
    <row r="76" spans="1:12" x14ac:dyDescent="0.4">
      <c r="A76" s="57" t="s">
        <v>134</v>
      </c>
      <c r="B76" s="62">
        <v>4</v>
      </c>
      <c r="C76" s="62"/>
      <c r="D76" s="62"/>
      <c r="E76" s="62"/>
      <c r="F76" s="62"/>
      <c r="G76" s="62"/>
      <c r="H76" s="62"/>
      <c r="I76" s="62"/>
      <c r="J76" s="62">
        <v>1</v>
      </c>
      <c r="K76" s="62">
        <v>12</v>
      </c>
      <c r="L76" s="58">
        <v>23</v>
      </c>
    </row>
    <row r="77" spans="1:12" x14ac:dyDescent="0.4">
      <c r="A77" s="57" t="s">
        <v>141</v>
      </c>
      <c r="B77" s="62">
        <v>5</v>
      </c>
      <c r="C77" s="62">
        <v>1</v>
      </c>
      <c r="D77" s="62">
        <v>5</v>
      </c>
      <c r="E77" s="62">
        <v>0</v>
      </c>
      <c r="F77" s="62">
        <v>1</v>
      </c>
      <c r="G77" s="62">
        <v>0</v>
      </c>
      <c r="H77" s="62"/>
      <c r="I77" s="62"/>
      <c r="J77" s="62"/>
      <c r="K77" s="62"/>
      <c r="L77" s="58"/>
    </row>
    <row r="78" spans="1:12" x14ac:dyDescent="0.4">
      <c r="A78" s="57" t="s">
        <v>142</v>
      </c>
      <c r="B78" s="62">
        <v>18</v>
      </c>
      <c r="C78" s="62">
        <v>6</v>
      </c>
      <c r="D78" s="62">
        <v>23</v>
      </c>
      <c r="E78" s="62">
        <v>0</v>
      </c>
      <c r="F78" s="62">
        <v>0</v>
      </c>
      <c r="G78" s="62">
        <v>1</v>
      </c>
      <c r="H78" s="62"/>
      <c r="I78" s="62"/>
      <c r="J78" s="62"/>
      <c r="K78" s="62"/>
      <c r="L78" s="58"/>
    </row>
    <row r="79" spans="1:12" x14ac:dyDescent="0.4">
      <c r="A79" s="57" t="s">
        <v>143</v>
      </c>
      <c r="B79" s="62">
        <v>5</v>
      </c>
      <c r="C79" s="62">
        <v>18</v>
      </c>
      <c r="D79" s="62">
        <v>23</v>
      </c>
      <c r="E79" s="62">
        <v>0</v>
      </c>
      <c r="F79" s="62">
        <v>1</v>
      </c>
      <c r="G79" s="62">
        <v>0</v>
      </c>
      <c r="H79" s="62"/>
      <c r="I79" s="62"/>
      <c r="J79" s="62"/>
      <c r="K79" s="62"/>
      <c r="L79" s="58"/>
    </row>
    <row r="80" spans="1:12" x14ac:dyDescent="0.4">
      <c r="A80" s="57" t="s">
        <v>144</v>
      </c>
      <c r="B80" s="62">
        <v>5</v>
      </c>
      <c r="C80" s="62">
        <v>12</v>
      </c>
      <c r="D80" s="62">
        <v>17</v>
      </c>
      <c r="E80" s="62">
        <v>0</v>
      </c>
      <c r="F80" s="62">
        <v>1</v>
      </c>
      <c r="G80" s="62">
        <v>0</v>
      </c>
      <c r="H80" s="62"/>
      <c r="I80" s="62"/>
      <c r="J80" s="62"/>
      <c r="K80" s="62"/>
      <c r="L80" s="58"/>
    </row>
    <row r="81" spans="1:12" x14ac:dyDescent="0.4">
      <c r="A81" s="57"/>
      <c r="B81" s="62"/>
      <c r="C81" s="62"/>
      <c r="D81" s="62"/>
      <c r="E81" s="62"/>
      <c r="F81" s="62"/>
      <c r="G81" s="62"/>
      <c r="H81" s="62"/>
      <c r="I81" s="62"/>
      <c r="J81" s="62"/>
      <c r="K81" s="62"/>
      <c r="L81" s="58"/>
    </row>
    <row r="82" spans="1:12" x14ac:dyDescent="0.4">
      <c r="A82" s="59"/>
      <c r="B82" s="60"/>
      <c r="C82" s="60"/>
      <c r="D82" s="60"/>
      <c r="E82" s="60"/>
      <c r="F82" s="60"/>
      <c r="G82" s="60"/>
      <c r="H82" s="60"/>
      <c r="I82" s="60"/>
      <c r="J82" s="60"/>
      <c r="K82" s="60"/>
      <c r="L82" s="61"/>
    </row>
    <row r="83" spans="1:12" x14ac:dyDescent="0.4">
      <c r="A83" s="54">
        <v>0</v>
      </c>
      <c r="B83" s="55">
        <v>11</v>
      </c>
      <c r="C83" s="55">
        <v>9</v>
      </c>
      <c r="D83" s="55">
        <v>12</v>
      </c>
      <c r="E83" s="55">
        <v>6</v>
      </c>
      <c r="F83" s="55">
        <v>0</v>
      </c>
      <c r="G83" s="55">
        <v>418</v>
      </c>
      <c r="H83" s="55">
        <v>1</v>
      </c>
      <c r="I83" s="55">
        <v>100</v>
      </c>
      <c r="J83" s="55">
        <v>30</v>
      </c>
      <c r="K83" s="55">
        <v>30</v>
      </c>
      <c r="L83" s="56">
        <v>40</v>
      </c>
    </row>
    <row r="84" spans="1:12" x14ac:dyDescent="0.4">
      <c r="A84" s="57" t="s">
        <v>134</v>
      </c>
      <c r="B84" s="62">
        <v>2</v>
      </c>
      <c r="C84" s="62"/>
      <c r="D84" s="62"/>
      <c r="E84" s="62"/>
      <c r="F84" s="62"/>
      <c r="G84" s="62"/>
      <c r="H84" s="62"/>
      <c r="I84" s="62"/>
      <c r="J84" s="62">
        <v>1</v>
      </c>
      <c r="K84" s="62">
        <v>3</v>
      </c>
      <c r="L84" s="58">
        <v>6</v>
      </c>
    </row>
    <row r="85" spans="1:12" x14ac:dyDescent="0.4">
      <c r="A85" s="57" t="s">
        <v>141</v>
      </c>
      <c r="B85" s="62">
        <v>1</v>
      </c>
      <c r="C85" s="62">
        <v>1</v>
      </c>
      <c r="D85" s="62">
        <v>1</v>
      </c>
      <c r="E85" s="62">
        <v>0</v>
      </c>
      <c r="F85" s="62">
        <v>0</v>
      </c>
      <c r="G85" s="62">
        <v>1</v>
      </c>
      <c r="H85" s="62"/>
      <c r="I85" s="62"/>
      <c r="J85" s="62"/>
      <c r="K85" s="62"/>
      <c r="L85" s="58"/>
    </row>
    <row r="86" spans="1:12" x14ac:dyDescent="0.4">
      <c r="A86" s="57" t="s">
        <v>142</v>
      </c>
      <c r="B86" s="62">
        <v>5</v>
      </c>
      <c r="C86" s="62">
        <v>2</v>
      </c>
      <c r="D86" s="62">
        <v>6</v>
      </c>
      <c r="E86" s="62">
        <v>0</v>
      </c>
      <c r="F86" s="62">
        <v>1</v>
      </c>
      <c r="G86" s="62">
        <v>0</v>
      </c>
      <c r="H86" s="62"/>
      <c r="I86" s="62"/>
      <c r="J86" s="62"/>
      <c r="K86" s="62"/>
      <c r="L86" s="58"/>
    </row>
    <row r="87" spans="1:12" x14ac:dyDescent="0.4">
      <c r="A87" s="57" t="s">
        <v>143</v>
      </c>
      <c r="B87" s="62">
        <v>0</v>
      </c>
      <c r="C87" s="62">
        <v>0</v>
      </c>
      <c r="D87" s="62">
        <v>0</v>
      </c>
      <c r="E87" s="62">
        <v>0</v>
      </c>
      <c r="F87" s="62">
        <v>0</v>
      </c>
      <c r="G87" s="62">
        <v>0</v>
      </c>
      <c r="H87" s="62"/>
      <c r="I87" s="62"/>
      <c r="J87" s="62"/>
      <c r="K87" s="62"/>
      <c r="L87" s="58"/>
    </row>
    <row r="88" spans="1:12" x14ac:dyDescent="0.4">
      <c r="A88" s="57" t="s">
        <v>144</v>
      </c>
      <c r="B88" s="62">
        <v>0</v>
      </c>
      <c r="C88" s="62">
        <v>0</v>
      </c>
      <c r="D88" s="62">
        <v>0</v>
      </c>
      <c r="E88" s="62">
        <v>0</v>
      </c>
      <c r="F88" s="62">
        <v>0</v>
      </c>
      <c r="G88" s="62">
        <v>0</v>
      </c>
      <c r="H88" s="62"/>
      <c r="I88" s="62"/>
      <c r="J88" s="62"/>
      <c r="K88" s="62"/>
      <c r="L88" s="58"/>
    </row>
    <row r="89" spans="1:12" x14ac:dyDescent="0.4">
      <c r="A89" s="57"/>
      <c r="B89" s="62"/>
      <c r="C89" s="62"/>
      <c r="D89" s="62"/>
      <c r="E89" s="62"/>
      <c r="F89" s="62"/>
      <c r="G89" s="62"/>
      <c r="H89" s="62"/>
      <c r="I89" s="62"/>
      <c r="J89" s="62"/>
      <c r="K89" s="62"/>
      <c r="L89" s="58"/>
    </row>
    <row r="90" spans="1:12" x14ac:dyDescent="0.4">
      <c r="A90" s="59"/>
      <c r="B90" s="60"/>
      <c r="C90" s="60"/>
      <c r="D90" s="60"/>
      <c r="E90" s="60"/>
      <c r="F90" s="60"/>
      <c r="G90" s="60"/>
      <c r="H90" s="60"/>
      <c r="I90" s="60"/>
      <c r="J90" s="60"/>
      <c r="K90" s="60"/>
      <c r="L90" s="61"/>
    </row>
    <row r="91" spans="1:12" x14ac:dyDescent="0.4">
      <c r="A91" s="54">
        <v>0</v>
      </c>
      <c r="B91" s="55">
        <v>12</v>
      </c>
      <c r="C91" s="55">
        <v>10</v>
      </c>
      <c r="D91" s="55">
        <v>11</v>
      </c>
      <c r="E91" s="55">
        <v>11</v>
      </c>
      <c r="F91" s="55">
        <v>0</v>
      </c>
      <c r="G91" s="55">
        <v>528</v>
      </c>
      <c r="H91" s="55">
        <v>1</v>
      </c>
      <c r="I91" s="55">
        <v>100</v>
      </c>
      <c r="J91" s="55">
        <v>50</v>
      </c>
      <c r="K91" s="55">
        <v>50</v>
      </c>
      <c r="L91" s="56"/>
    </row>
    <row r="92" spans="1:12" x14ac:dyDescent="0.4">
      <c r="A92" s="57" t="s">
        <v>134</v>
      </c>
      <c r="B92" s="62">
        <v>2</v>
      </c>
      <c r="C92" s="62"/>
      <c r="D92" s="62"/>
      <c r="E92" s="62"/>
      <c r="F92" s="62"/>
      <c r="G92" s="62"/>
      <c r="H92" s="62"/>
      <c r="I92" s="62"/>
      <c r="J92" s="62">
        <v>1</v>
      </c>
      <c r="K92" s="62">
        <v>11</v>
      </c>
      <c r="L92" s="58">
        <v>0</v>
      </c>
    </row>
    <row r="93" spans="1:12" x14ac:dyDescent="0.4">
      <c r="A93" s="57" t="s">
        <v>141</v>
      </c>
      <c r="B93" s="62">
        <v>3</v>
      </c>
      <c r="C93" s="62">
        <v>1</v>
      </c>
      <c r="D93" s="62">
        <v>3</v>
      </c>
      <c r="E93" s="62">
        <v>0</v>
      </c>
      <c r="F93" s="62">
        <v>0</v>
      </c>
      <c r="G93" s="62">
        <v>1</v>
      </c>
      <c r="H93" s="62"/>
      <c r="I93" s="62"/>
      <c r="J93" s="62"/>
      <c r="K93" s="62"/>
      <c r="L93" s="58"/>
    </row>
    <row r="94" spans="1:12" x14ac:dyDescent="0.4">
      <c r="A94" s="57" t="s">
        <v>142</v>
      </c>
      <c r="B94" s="62">
        <v>8</v>
      </c>
      <c r="C94" s="62">
        <v>4</v>
      </c>
      <c r="D94" s="62">
        <v>11</v>
      </c>
      <c r="E94" s="62">
        <v>0</v>
      </c>
      <c r="F94" s="62">
        <v>0</v>
      </c>
      <c r="G94" s="62">
        <v>1</v>
      </c>
      <c r="H94" s="62"/>
      <c r="I94" s="62"/>
      <c r="J94" s="62"/>
      <c r="K94" s="62"/>
      <c r="L94" s="58"/>
    </row>
    <row r="95" spans="1:12" x14ac:dyDescent="0.4">
      <c r="A95" s="57" t="s">
        <v>143</v>
      </c>
      <c r="B95" s="62">
        <v>0</v>
      </c>
      <c r="C95" s="62">
        <v>0</v>
      </c>
      <c r="D95" s="62">
        <v>0</v>
      </c>
      <c r="E95" s="62">
        <v>0</v>
      </c>
      <c r="F95" s="62">
        <v>0</v>
      </c>
      <c r="G95" s="62">
        <v>0</v>
      </c>
      <c r="H95" s="62"/>
      <c r="I95" s="62"/>
      <c r="J95" s="62"/>
      <c r="K95" s="62"/>
      <c r="L95" s="58"/>
    </row>
    <row r="96" spans="1:12" x14ac:dyDescent="0.4">
      <c r="A96" s="57" t="s">
        <v>144</v>
      </c>
      <c r="B96" s="62">
        <v>0</v>
      </c>
      <c r="C96" s="62">
        <v>0</v>
      </c>
      <c r="D96" s="62">
        <v>0</v>
      </c>
      <c r="E96" s="62">
        <v>0</v>
      </c>
      <c r="F96" s="62">
        <v>0</v>
      </c>
      <c r="G96" s="62">
        <v>0</v>
      </c>
      <c r="H96" s="62"/>
      <c r="I96" s="62"/>
      <c r="J96" s="62"/>
      <c r="K96" s="62"/>
      <c r="L96" s="58"/>
    </row>
    <row r="97" spans="1:12" x14ac:dyDescent="0.4">
      <c r="A97" s="57"/>
      <c r="B97" s="62"/>
      <c r="C97" s="62"/>
      <c r="D97" s="62"/>
      <c r="E97" s="62"/>
      <c r="F97" s="62"/>
      <c r="G97" s="62"/>
      <c r="H97" s="62"/>
      <c r="I97" s="62"/>
      <c r="J97" s="62"/>
      <c r="K97" s="62"/>
      <c r="L97" s="58"/>
    </row>
    <row r="98" spans="1:12" x14ac:dyDescent="0.4">
      <c r="A98" s="59"/>
      <c r="B98" s="60"/>
      <c r="C98" s="60"/>
      <c r="D98" s="60"/>
      <c r="E98" s="60"/>
      <c r="F98" s="60"/>
      <c r="G98" s="60"/>
      <c r="H98" s="60"/>
      <c r="I98" s="60"/>
      <c r="J98" s="60"/>
      <c r="K98" s="60"/>
      <c r="L98" s="61"/>
    </row>
    <row r="99" spans="1:12" x14ac:dyDescent="0.4">
      <c r="A99" s="54">
        <v>0</v>
      </c>
      <c r="B99" s="55">
        <v>13</v>
      </c>
      <c r="C99" s="55">
        <v>10</v>
      </c>
      <c r="D99" s="55">
        <v>10</v>
      </c>
      <c r="E99" s="55">
        <v>3</v>
      </c>
      <c r="F99" s="55">
        <v>0</v>
      </c>
      <c r="G99" s="55">
        <v>222</v>
      </c>
      <c r="H99" s="55">
        <v>1</v>
      </c>
      <c r="I99" s="55">
        <v>100</v>
      </c>
      <c r="J99" s="55">
        <v>40</v>
      </c>
      <c r="K99" s="55">
        <v>60</v>
      </c>
      <c r="L99" s="56"/>
    </row>
    <row r="100" spans="1:12" x14ac:dyDescent="0.4">
      <c r="A100" s="57" t="s">
        <v>134</v>
      </c>
      <c r="B100" s="62">
        <v>1</v>
      </c>
      <c r="C100" s="62"/>
      <c r="D100" s="62"/>
      <c r="E100" s="62"/>
      <c r="F100" s="62"/>
      <c r="G100" s="62"/>
      <c r="H100" s="62"/>
      <c r="I100" s="62"/>
      <c r="J100" s="62">
        <v>1</v>
      </c>
      <c r="K100" s="62">
        <v>3</v>
      </c>
      <c r="L100" s="58">
        <v>0</v>
      </c>
    </row>
    <row r="101" spans="1:12" x14ac:dyDescent="0.4">
      <c r="A101" s="57" t="s">
        <v>141</v>
      </c>
      <c r="B101" s="62">
        <v>3</v>
      </c>
      <c r="C101" s="62">
        <v>1</v>
      </c>
      <c r="D101" s="62">
        <v>3</v>
      </c>
      <c r="E101" s="62">
        <v>0</v>
      </c>
      <c r="F101" s="62">
        <v>1</v>
      </c>
      <c r="G101" s="62">
        <v>0</v>
      </c>
      <c r="H101" s="62"/>
      <c r="I101" s="62"/>
      <c r="J101" s="62"/>
      <c r="K101" s="62"/>
      <c r="L101" s="58"/>
    </row>
    <row r="102" spans="1:12" x14ac:dyDescent="0.4">
      <c r="A102" s="57" t="s">
        <v>142</v>
      </c>
      <c r="B102" s="62">
        <v>0</v>
      </c>
      <c r="C102" s="62">
        <v>0</v>
      </c>
      <c r="D102" s="62">
        <v>0</v>
      </c>
      <c r="E102" s="62">
        <v>0</v>
      </c>
      <c r="F102" s="62">
        <v>0</v>
      </c>
      <c r="G102" s="62">
        <v>0</v>
      </c>
      <c r="H102" s="62"/>
      <c r="I102" s="62"/>
      <c r="J102" s="62"/>
      <c r="K102" s="62"/>
      <c r="L102" s="58"/>
    </row>
    <row r="103" spans="1:12" x14ac:dyDescent="0.4">
      <c r="A103" s="57" t="s">
        <v>143</v>
      </c>
      <c r="B103" s="62">
        <v>0</v>
      </c>
      <c r="C103" s="62">
        <v>0</v>
      </c>
      <c r="D103" s="62">
        <v>0</v>
      </c>
      <c r="E103" s="62">
        <v>0</v>
      </c>
      <c r="F103" s="62">
        <v>0</v>
      </c>
      <c r="G103" s="62">
        <v>0</v>
      </c>
      <c r="H103" s="62"/>
      <c r="I103" s="62"/>
      <c r="J103" s="62"/>
      <c r="K103" s="62"/>
      <c r="L103" s="58"/>
    </row>
    <row r="104" spans="1:12" x14ac:dyDescent="0.4">
      <c r="A104" s="57" t="s">
        <v>144</v>
      </c>
      <c r="B104" s="62">
        <v>0</v>
      </c>
      <c r="C104" s="62">
        <v>0</v>
      </c>
      <c r="D104" s="62">
        <v>0</v>
      </c>
      <c r="E104" s="62">
        <v>0</v>
      </c>
      <c r="F104" s="62">
        <v>0</v>
      </c>
      <c r="G104" s="62">
        <v>0</v>
      </c>
      <c r="H104" s="62"/>
      <c r="I104" s="62"/>
      <c r="J104" s="62"/>
      <c r="K104" s="62"/>
      <c r="L104" s="58"/>
    </row>
    <row r="105" spans="1:12" x14ac:dyDescent="0.4">
      <c r="A105" s="57"/>
      <c r="B105" s="62"/>
      <c r="C105" s="62"/>
      <c r="D105" s="62"/>
      <c r="E105" s="62"/>
      <c r="F105" s="62"/>
      <c r="G105" s="62"/>
      <c r="H105" s="62"/>
      <c r="I105" s="62"/>
      <c r="J105" s="62"/>
      <c r="K105" s="62"/>
      <c r="L105" s="58"/>
    </row>
    <row r="106" spans="1:12" x14ac:dyDescent="0.4">
      <c r="A106" s="59"/>
      <c r="B106" s="60"/>
      <c r="C106" s="60"/>
      <c r="D106" s="60"/>
      <c r="E106" s="60"/>
      <c r="F106" s="60"/>
      <c r="G106" s="60"/>
      <c r="H106" s="60"/>
      <c r="I106" s="60"/>
      <c r="J106" s="60"/>
      <c r="K106" s="60"/>
      <c r="L106" s="61"/>
    </row>
    <row r="107" spans="1:12" x14ac:dyDescent="0.4">
      <c r="A107" s="54">
        <v>0</v>
      </c>
      <c r="B107" s="55">
        <v>14</v>
      </c>
      <c r="C107" s="55">
        <v>10</v>
      </c>
      <c r="D107" s="55">
        <v>12</v>
      </c>
      <c r="E107" s="55">
        <v>25</v>
      </c>
      <c r="F107" s="55">
        <v>0</v>
      </c>
      <c r="G107" s="55">
        <v>2392</v>
      </c>
      <c r="H107" s="55">
        <v>1</v>
      </c>
      <c r="I107" s="55">
        <v>100</v>
      </c>
      <c r="J107" s="55">
        <v>30</v>
      </c>
      <c r="K107" s="55">
        <v>40</v>
      </c>
      <c r="L107" s="56">
        <v>30</v>
      </c>
    </row>
    <row r="108" spans="1:12" x14ac:dyDescent="0.4">
      <c r="A108" s="57" t="s">
        <v>134</v>
      </c>
      <c r="B108" s="62">
        <v>4</v>
      </c>
      <c r="C108" s="62"/>
      <c r="D108" s="62"/>
      <c r="E108" s="62"/>
      <c r="F108" s="62"/>
      <c r="G108" s="62"/>
      <c r="H108" s="62"/>
      <c r="I108" s="62"/>
      <c r="J108" s="62">
        <v>1</v>
      </c>
      <c r="K108" s="62">
        <v>13</v>
      </c>
      <c r="L108" s="58">
        <v>25</v>
      </c>
    </row>
    <row r="109" spans="1:12" x14ac:dyDescent="0.4">
      <c r="A109" s="57" t="s">
        <v>141</v>
      </c>
      <c r="B109" s="62">
        <v>6</v>
      </c>
      <c r="C109" s="62">
        <v>1</v>
      </c>
      <c r="D109" s="62">
        <v>6</v>
      </c>
      <c r="E109" s="62">
        <v>0</v>
      </c>
      <c r="F109" s="62">
        <v>1</v>
      </c>
      <c r="G109" s="62">
        <v>0</v>
      </c>
      <c r="H109" s="62"/>
      <c r="I109" s="62"/>
      <c r="J109" s="62"/>
      <c r="K109" s="62"/>
      <c r="L109" s="58"/>
    </row>
    <row r="110" spans="1:12" x14ac:dyDescent="0.4">
      <c r="A110" s="57" t="s">
        <v>142</v>
      </c>
      <c r="B110" s="62">
        <v>19</v>
      </c>
      <c r="C110" s="62">
        <v>7</v>
      </c>
      <c r="D110" s="62">
        <v>25</v>
      </c>
      <c r="E110" s="62">
        <v>0</v>
      </c>
      <c r="F110" s="62">
        <v>0</v>
      </c>
      <c r="G110" s="62">
        <v>1</v>
      </c>
      <c r="H110" s="62"/>
      <c r="I110" s="62"/>
      <c r="J110" s="62"/>
      <c r="K110" s="62"/>
      <c r="L110" s="58"/>
    </row>
    <row r="111" spans="1:12" x14ac:dyDescent="0.4">
      <c r="A111" s="57" t="s">
        <v>143</v>
      </c>
      <c r="B111" s="62">
        <v>7</v>
      </c>
      <c r="C111" s="62">
        <v>18</v>
      </c>
      <c r="D111" s="62">
        <v>25</v>
      </c>
      <c r="E111" s="62">
        <v>0</v>
      </c>
      <c r="F111" s="62">
        <v>1</v>
      </c>
      <c r="G111" s="62">
        <v>0</v>
      </c>
      <c r="H111" s="62"/>
      <c r="I111" s="62"/>
      <c r="J111" s="62"/>
      <c r="K111" s="62"/>
      <c r="L111" s="58"/>
    </row>
    <row r="112" spans="1:12" x14ac:dyDescent="0.4">
      <c r="A112" s="57" t="s">
        <v>144</v>
      </c>
      <c r="B112" s="62">
        <v>7</v>
      </c>
      <c r="C112" s="62">
        <v>10</v>
      </c>
      <c r="D112" s="62">
        <v>17</v>
      </c>
      <c r="E112" s="62">
        <v>0</v>
      </c>
      <c r="F112" s="62">
        <v>1</v>
      </c>
      <c r="G112" s="62">
        <v>0</v>
      </c>
      <c r="H112" s="62"/>
      <c r="I112" s="62"/>
      <c r="J112" s="62"/>
      <c r="K112" s="62"/>
      <c r="L112" s="58"/>
    </row>
    <row r="113" spans="1:12" x14ac:dyDescent="0.4">
      <c r="A113" s="57"/>
      <c r="B113" s="62"/>
      <c r="C113" s="62"/>
      <c r="D113" s="62"/>
      <c r="E113" s="62"/>
      <c r="F113" s="62"/>
      <c r="G113" s="62"/>
      <c r="H113" s="62"/>
      <c r="I113" s="62"/>
      <c r="J113" s="62"/>
      <c r="K113" s="62"/>
      <c r="L113" s="58"/>
    </row>
    <row r="114" spans="1:12" x14ac:dyDescent="0.4">
      <c r="A114" s="59"/>
      <c r="B114" s="60"/>
      <c r="C114" s="60"/>
      <c r="D114" s="60"/>
      <c r="E114" s="60"/>
      <c r="F114" s="60"/>
      <c r="G114" s="60"/>
      <c r="H114" s="60"/>
      <c r="I114" s="60"/>
      <c r="J114" s="60"/>
      <c r="K114" s="60"/>
      <c r="L114" s="61"/>
    </row>
    <row r="115" spans="1:12" x14ac:dyDescent="0.4">
      <c r="A115" s="54">
        <v>0</v>
      </c>
      <c r="B115" s="55">
        <v>15</v>
      </c>
      <c r="C115" s="55">
        <v>11</v>
      </c>
      <c r="D115" s="55">
        <v>14</v>
      </c>
      <c r="E115" s="55">
        <v>12</v>
      </c>
      <c r="F115" s="55">
        <v>0</v>
      </c>
      <c r="G115" s="55">
        <v>720</v>
      </c>
      <c r="H115" s="55">
        <v>1</v>
      </c>
      <c r="I115" s="55">
        <v>100</v>
      </c>
      <c r="J115" s="55">
        <v>30</v>
      </c>
      <c r="K115" s="55">
        <v>40</v>
      </c>
      <c r="L115" s="56">
        <v>30</v>
      </c>
    </row>
    <row r="116" spans="1:12" x14ac:dyDescent="0.4">
      <c r="A116" s="57" t="s">
        <v>134</v>
      </c>
      <c r="B116" s="62">
        <v>2</v>
      </c>
      <c r="C116" s="62"/>
      <c r="D116" s="62"/>
      <c r="E116" s="62"/>
      <c r="F116" s="62"/>
      <c r="G116" s="62"/>
      <c r="H116" s="62"/>
      <c r="I116" s="62"/>
      <c r="J116" s="62">
        <v>1</v>
      </c>
      <c r="K116" s="62">
        <v>6</v>
      </c>
      <c r="L116" s="58">
        <v>12</v>
      </c>
    </row>
    <row r="117" spans="1:12" x14ac:dyDescent="0.4">
      <c r="A117" s="57" t="s">
        <v>141</v>
      </c>
      <c r="B117" s="62">
        <v>3</v>
      </c>
      <c r="C117" s="62">
        <v>1</v>
      </c>
      <c r="D117" s="62">
        <v>3</v>
      </c>
      <c r="E117" s="62">
        <v>1</v>
      </c>
      <c r="F117" s="62">
        <v>0</v>
      </c>
      <c r="G117" s="62">
        <v>0</v>
      </c>
      <c r="H117" s="62"/>
      <c r="I117" s="62"/>
      <c r="J117" s="62"/>
      <c r="K117" s="62"/>
      <c r="L117" s="58"/>
    </row>
    <row r="118" spans="1:12" x14ac:dyDescent="0.4">
      <c r="A118" s="57" t="s">
        <v>142</v>
      </c>
      <c r="B118" s="62">
        <v>9</v>
      </c>
      <c r="C118" s="62">
        <v>4</v>
      </c>
      <c r="D118" s="62">
        <v>12</v>
      </c>
      <c r="E118" s="62">
        <v>0</v>
      </c>
      <c r="F118" s="62">
        <v>0</v>
      </c>
      <c r="G118" s="62">
        <v>1</v>
      </c>
      <c r="H118" s="62"/>
      <c r="I118" s="62"/>
      <c r="J118" s="62"/>
      <c r="K118" s="62"/>
      <c r="L118" s="58"/>
    </row>
    <row r="119" spans="1:12" x14ac:dyDescent="0.4">
      <c r="A119" s="57" t="s">
        <v>143</v>
      </c>
      <c r="B119" s="62">
        <v>0</v>
      </c>
      <c r="C119" s="62">
        <v>0</v>
      </c>
      <c r="D119" s="62">
        <v>0</v>
      </c>
      <c r="E119" s="62">
        <v>0</v>
      </c>
      <c r="F119" s="62">
        <v>0</v>
      </c>
      <c r="G119" s="62">
        <v>0</v>
      </c>
      <c r="H119" s="62"/>
      <c r="I119" s="62"/>
      <c r="J119" s="62"/>
      <c r="K119" s="62"/>
      <c r="L119" s="58"/>
    </row>
    <row r="120" spans="1:12" x14ac:dyDescent="0.4">
      <c r="A120" s="57" t="s">
        <v>144</v>
      </c>
      <c r="B120" s="62">
        <v>0</v>
      </c>
      <c r="C120" s="62">
        <v>0</v>
      </c>
      <c r="D120" s="62">
        <v>0</v>
      </c>
      <c r="E120" s="62">
        <v>0</v>
      </c>
      <c r="F120" s="62">
        <v>0</v>
      </c>
      <c r="G120" s="62">
        <v>0</v>
      </c>
      <c r="H120" s="62"/>
      <c r="I120" s="62"/>
      <c r="J120" s="62"/>
      <c r="K120" s="62"/>
      <c r="L120" s="58"/>
    </row>
    <row r="121" spans="1:12" x14ac:dyDescent="0.4">
      <c r="A121" s="57"/>
      <c r="B121" s="62"/>
      <c r="C121" s="62"/>
      <c r="D121" s="62"/>
      <c r="E121" s="62"/>
      <c r="F121" s="62"/>
      <c r="G121" s="62"/>
      <c r="H121" s="62"/>
      <c r="I121" s="62"/>
      <c r="J121" s="62"/>
      <c r="K121" s="62"/>
      <c r="L121" s="58"/>
    </row>
    <row r="122" spans="1:12" x14ac:dyDescent="0.4">
      <c r="A122" s="59"/>
      <c r="B122" s="60"/>
      <c r="C122" s="60"/>
      <c r="D122" s="60"/>
      <c r="E122" s="60"/>
      <c r="F122" s="60"/>
      <c r="G122" s="60"/>
      <c r="H122" s="60"/>
      <c r="I122" s="60"/>
      <c r="J122" s="60"/>
      <c r="K122" s="60"/>
      <c r="L122" s="61"/>
    </row>
    <row r="123" spans="1:12" x14ac:dyDescent="0.4">
      <c r="A123" s="54">
        <v>0</v>
      </c>
      <c r="B123" s="55">
        <v>16</v>
      </c>
      <c r="C123" s="55">
        <v>11</v>
      </c>
      <c r="D123" s="55">
        <v>12</v>
      </c>
      <c r="E123" s="55">
        <v>6</v>
      </c>
      <c r="F123" s="55">
        <v>0</v>
      </c>
      <c r="G123" s="55">
        <v>336</v>
      </c>
      <c r="H123" s="55">
        <v>1</v>
      </c>
      <c r="I123" s="55">
        <v>100</v>
      </c>
      <c r="J123" s="55">
        <v>30</v>
      </c>
      <c r="K123" s="55">
        <v>30</v>
      </c>
      <c r="L123" s="56">
        <v>40</v>
      </c>
    </row>
    <row r="124" spans="1:12" x14ac:dyDescent="0.4">
      <c r="A124" s="57" t="s">
        <v>134</v>
      </c>
      <c r="B124" s="62">
        <v>2</v>
      </c>
      <c r="C124" s="62"/>
      <c r="D124" s="62"/>
      <c r="E124" s="62"/>
      <c r="F124" s="62"/>
      <c r="G124" s="62"/>
      <c r="H124" s="62"/>
      <c r="I124" s="62"/>
      <c r="J124" s="62">
        <v>1</v>
      </c>
      <c r="K124" s="62">
        <v>3</v>
      </c>
      <c r="L124" s="58">
        <v>6</v>
      </c>
    </row>
    <row r="125" spans="1:12" x14ac:dyDescent="0.4">
      <c r="A125" s="57" t="s">
        <v>141</v>
      </c>
      <c r="B125" s="62">
        <v>1</v>
      </c>
      <c r="C125" s="62">
        <v>1</v>
      </c>
      <c r="D125" s="62">
        <v>1</v>
      </c>
      <c r="E125" s="62">
        <v>1</v>
      </c>
      <c r="F125" s="62">
        <v>0</v>
      </c>
      <c r="G125" s="62">
        <v>0</v>
      </c>
      <c r="H125" s="62"/>
      <c r="I125" s="62"/>
      <c r="J125" s="62"/>
      <c r="K125" s="62"/>
      <c r="L125" s="58"/>
    </row>
    <row r="126" spans="1:12" x14ac:dyDescent="0.4">
      <c r="A126" s="57" t="s">
        <v>142</v>
      </c>
      <c r="B126" s="62">
        <v>5</v>
      </c>
      <c r="C126" s="62">
        <v>2</v>
      </c>
      <c r="D126" s="62">
        <v>6</v>
      </c>
      <c r="E126" s="62">
        <v>0</v>
      </c>
      <c r="F126" s="62">
        <v>0</v>
      </c>
      <c r="G126" s="62">
        <v>1</v>
      </c>
      <c r="H126" s="62"/>
      <c r="I126" s="62"/>
      <c r="J126" s="62"/>
      <c r="K126" s="62"/>
      <c r="L126" s="58"/>
    </row>
    <row r="127" spans="1:12" x14ac:dyDescent="0.4">
      <c r="A127" s="57" t="s">
        <v>143</v>
      </c>
      <c r="B127" s="62">
        <v>0</v>
      </c>
      <c r="C127" s="62">
        <v>0</v>
      </c>
      <c r="D127" s="62">
        <v>0</v>
      </c>
      <c r="E127" s="62">
        <v>0</v>
      </c>
      <c r="F127" s="62">
        <v>0</v>
      </c>
      <c r="G127" s="62">
        <v>0</v>
      </c>
      <c r="H127" s="62"/>
      <c r="I127" s="62"/>
      <c r="J127" s="62"/>
      <c r="K127" s="62"/>
      <c r="L127" s="58"/>
    </row>
    <row r="128" spans="1:12" x14ac:dyDescent="0.4">
      <c r="A128" s="57" t="s">
        <v>144</v>
      </c>
      <c r="B128" s="62">
        <v>0</v>
      </c>
      <c r="C128" s="62">
        <v>0</v>
      </c>
      <c r="D128" s="62">
        <v>0</v>
      </c>
      <c r="E128" s="62">
        <v>0</v>
      </c>
      <c r="F128" s="62">
        <v>0</v>
      </c>
      <c r="G128" s="62">
        <v>0</v>
      </c>
      <c r="H128" s="62"/>
      <c r="I128" s="62"/>
      <c r="J128" s="62"/>
      <c r="K128" s="62"/>
      <c r="L128" s="58"/>
    </row>
    <row r="129" spans="1:12" x14ac:dyDescent="0.4">
      <c r="A129" s="57"/>
      <c r="B129" s="62"/>
      <c r="C129" s="62"/>
      <c r="D129" s="62"/>
      <c r="E129" s="62"/>
      <c r="F129" s="62"/>
      <c r="G129" s="62"/>
      <c r="H129" s="62"/>
      <c r="I129" s="62"/>
      <c r="J129" s="62"/>
      <c r="K129" s="62"/>
      <c r="L129" s="58"/>
    </row>
    <row r="130" spans="1:12" x14ac:dyDescent="0.4">
      <c r="A130" s="59"/>
      <c r="B130" s="60"/>
      <c r="C130" s="60"/>
      <c r="D130" s="60"/>
      <c r="E130" s="60"/>
      <c r="F130" s="60"/>
      <c r="G130" s="60"/>
      <c r="H130" s="60"/>
      <c r="I130" s="60"/>
      <c r="J130" s="60"/>
      <c r="K130" s="60"/>
      <c r="L130" s="61"/>
    </row>
    <row r="131" spans="1:12" x14ac:dyDescent="0.4">
      <c r="A131" s="54">
        <v>0</v>
      </c>
      <c r="B131" s="55">
        <v>17</v>
      </c>
      <c r="C131" s="55">
        <v>13</v>
      </c>
      <c r="D131" s="55">
        <v>14</v>
      </c>
      <c r="E131" s="55">
        <v>4</v>
      </c>
      <c r="F131" s="55">
        <v>0</v>
      </c>
      <c r="G131" s="55">
        <v>192</v>
      </c>
      <c r="H131" s="55">
        <v>1</v>
      </c>
      <c r="I131" s="55">
        <v>100</v>
      </c>
      <c r="J131" s="55">
        <v>50</v>
      </c>
      <c r="K131" s="55">
        <v>50</v>
      </c>
      <c r="L131" s="56"/>
    </row>
    <row r="132" spans="1:12" x14ac:dyDescent="0.4">
      <c r="A132" s="57" t="s">
        <v>134</v>
      </c>
      <c r="B132" s="62">
        <v>1</v>
      </c>
      <c r="C132" s="62"/>
      <c r="D132" s="62"/>
      <c r="E132" s="62"/>
      <c r="F132" s="62"/>
      <c r="G132" s="62"/>
      <c r="H132" s="62"/>
      <c r="I132" s="62"/>
      <c r="J132" s="62">
        <v>1</v>
      </c>
      <c r="K132" s="62">
        <v>4</v>
      </c>
      <c r="L132" s="58">
        <v>0</v>
      </c>
    </row>
    <row r="133" spans="1:12" x14ac:dyDescent="0.4">
      <c r="A133" s="57" t="s">
        <v>141</v>
      </c>
      <c r="B133" s="62">
        <v>4</v>
      </c>
      <c r="C133" s="62">
        <v>1</v>
      </c>
      <c r="D133" s="62">
        <v>4</v>
      </c>
      <c r="E133" s="62">
        <v>0</v>
      </c>
      <c r="F133" s="62">
        <v>0</v>
      </c>
      <c r="G133" s="62">
        <v>1</v>
      </c>
      <c r="H133" s="62"/>
      <c r="I133" s="62"/>
      <c r="J133" s="62"/>
      <c r="K133" s="62"/>
      <c r="L133" s="58"/>
    </row>
    <row r="134" spans="1:12" x14ac:dyDescent="0.4">
      <c r="A134" s="57" t="s">
        <v>142</v>
      </c>
      <c r="B134" s="62">
        <v>0</v>
      </c>
      <c r="C134" s="62">
        <v>0</v>
      </c>
      <c r="D134" s="62">
        <v>0</v>
      </c>
      <c r="E134" s="62">
        <v>0</v>
      </c>
      <c r="F134" s="62">
        <v>0</v>
      </c>
      <c r="G134" s="62">
        <v>0</v>
      </c>
      <c r="H134" s="62"/>
      <c r="I134" s="62"/>
      <c r="J134" s="62"/>
      <c r="K134" s="62"/>
      <c r="L134" s="58"/>
    </row>
    <row r="135" spans="1:12" x14ac:dyDescent="0.4">
      <c r="A135" s="57" t="s">
        <v>143</v>
      </c>
      <c r="B135" s="62">
        <v>0</v>
      </c>
      <c r="C135" s="62">
        <v>0</v>
      </c>
      <c r="D135" s="62">
        <v>0</v>
      </c>
      <c r="E135" s="62">
        <v>0</v>
      </c>
      <c r="F135" s="62">
        <v>0</v>
      </c>
      <c r="G135" s="62">
        <v>0</v>
      </c>
      <c r="H135" s="62"/>
      <c r="I135" s="62"/>
      <c r="J135" s="62"/>
      <c r="K135" s="62"/>
      <c r="L135" s="58"/>
    </row>
    <row r="136" spans="1:12" x14ac:dyDescent="0.4">
      <c r="A136" s="57" t="s">
        <v>144</v>
      </c>
      <c r="B136" s="62">
        <v>0</v>
      </c>
      <c r="C136" s="62">
        <v>0</v>
      </c>
      <c r="D136" s="62">
        <v>0</v>
      </c>
      <c r="E136" s="62">
        <v>0</v>
      </c>
      <c r="F136" s="62">
        <v>0</v>
      </c>
      <c r="G136" s="62">
        <v>0</v>
      </c>
      <c r="H136" s="62"/>
      <c r="I136" s="62"/>
      <c r="J136" s="62"/>
      <c r="K136" s="62"/>
      <c r="L136" s="58"/>
    </row>
    <row r="137" spans="1:12" x14ac:dyDescent="0.4">
      <c r="A137" s="57"/>
      <c r="B137" s="62"/>
      <c r="C137" s="62"/>
      <c r="D137" s="62"/>
      <c r="E137" s="62"/>
      <c r="F137" s="62"/>
      <c r="G137" s="62"/>
      <c r="H137" s="62"/>
      <c r="I137" s="62"/>
      <c r="J137" s="62"/>
      <c r="K137" s="62"/>
      <c r="L137" s="58"/>
    </row>
    <row r="138" spans="1:12" x14ac:dyDescent="0.4">
      <c r="A138" s="59"/>
      <c r="B138" s="60"/>
      <c r="C138" s="60"/>
      <c r="D138" s="60"/>
      <c r="E138" s="60"/>
      <c r="F138" s="60"/>
      <c r="G138" s="60"/>
      <c r="H138" s="60"/>
      <c r="I138" s="60"/>
      <c r="J138" s="60"/>
      <c r="K138" s="60"/>
      <c r="L138" s="61"/>
    </row>
    <row r="139" spans="1:12" x14ac:dyDescent="0.4">
      <c r="A139" s="54">
        <v>0</v>
      </c>
      <c r="B139" s="55">
        <v>18</v>
      </c>
      <c r="C139" s="55">
        <v>13</v>
      </c>
      <c r="D139" s="55">
        <v>13</v>
      </c>
      <c r="E139" s="55">
        <v>20</v>
      </c>
      <c r="F139" s="55">
        <v>0</v>
      </c>
      <c r="G139" s="55">
        <v>2404</v>
      </c>
      <c r="H139" s="55">
        <v>1</v>
      </c>
      <c r="I139" s="55">
        <v>100</v>
      </c>
      <c r="J139" s="55">
        <v>30</v>
      </c>
      <c r="K139" s="55">
        <v>40</v>
      </c>
      <c r="L139" s="56">
        <v>30</v>
      </c>
    </row>
    <row r="140" spans="1:12" x14ac:dyDescent="0.4">
      <c r="A140" s="57" t="s">
        <v>134</v>
      </c>
      <c r="B140" s="62">
        <v>4</v>
      </c>
      <c r="C140" s="62"/>
      <c r="D140" s="62"/>
      <c r="E140" s="62"/>
      <c r="F140" s="62"/>
      <c r="G140" s="62"/>
      <c r="H140" s="62"/>
      <c r="I140" s="62"/>
      <c r="J140" s="62">
        <v>1</v>
      </c>
      <c r="K140" s="62">
        <v>10</v>
      </c>
      <c r="L140" s="58">
        <v>20</v>
      </c>
    </row>
    <row r="141" spans="1:12" x14ac:dyDescent="0.4">
      <c r="A141" s="57" t="s">
        <v>141</v>
      </c>
      <c r="B141" s="62">
        <v>5</v>
      </c>
      <c r="C141" s="62">
        <v>1</v>
      </c>
      <c r="D141" s="62">
        <v>5</v>
      </c>
      <c r="E141" s="62">
        <v>1</v>
      </c>
      <c r="F141" s="62">
        <v>0</v>
      </c>
      <c r="G141" s="62">
        <v>0</v>
      </c>
      <c r="H141" s="62"/>
      <c r="I141" s="62"/>
      <c r="J141" s="62"/>
      <c r="K141" s="62"/>
      <c r="L141" s="58"/>
    </row>
    <row r="142" spans="1:12" x14ac:dyDescent="0.4">
      <c r="A142" s="57" t="s">
        <v>142</v>
      </c>
      <c r="B142" s="62">
        <v>15</v>
      </c>
      <c r="C142" s="62">
        <v>6</v>
      </c>
      <c r="D142" s="62">
        <v>20</v>
      </c>
      <c r="E142" s="62">
        <v>0</v>
      </c>
      <c r="F142" s="62">
        <v>1</v>
      </c>
      <c r="G142" s="62">
        <v>0</v>
      </c>
      <c r="H142" s="62"/>
      <c r="I142" s="62"/>
      <c r="J142" s="62"/>
      <c r="K142" s="62"/>
      <c r="L142" s="58"/>
    </row>
    <row r="143" spans="1:12" x14ac:dyDescent="0.4">
      <c r="A143" s="57" t="s">
        <v>143</v>
      </c>
      <c r="B143" s="62">
        <v>6</v>
      </c>
      <c r="C143" s="62">
        <v>14</v>
      </c>
      <c r="D143" s="62">
        <v>20</v>
      </c>
      <c r="E143" s="62">
        <v>0</v>
      </c>
      <c r="F143" s="62">
        <v>1</v>
      </c>
      <c r="G143" s="62">
        <v>0</v>
      </c>
      <c r="H143" s="62"/>
      <c r="I143" s="62"/>
      <c r="J143" s="62"/>
      <c r="K143" s="62"/>
      <c r="L143" s="58"/>
    </row>
    <row r="144" spans="1:12" x14ac:dyDescent="0.4">
      <c r="A144" s="57" t="s">
        <v>144</v>
      </c>
      <c r="B144" s="62">
        <v>5</v>
      </c>
      <c r="C144" s="62">
        <v>8</v>
      </c>
      <c r="D144" s="62">
        <v>13</v>
      </c>
      <c r="E144" s="62">
        <v>0</v>
      </c>
      <c r="F144" s="62">
        <v>1</v>
      </c>
      <c r="G144" s="62">
        <v>0</v>
      </c>
      <c r="H144" s="62"/>
      <c r="I144" s="62"/>
      <c r="J144" s="62"/>
      <c r="K144" s="62"/>
      <c r="L144" s="58"/>
    </row>
    <row r="145" spans="1:12" x14ac:dyDescent="0.4">
      <c r="A145" s="57"/>
      <c r="B145" s="62"/>
      <c r="C145" s="62"/>
      <c r="D145" s="62"/>
      <c r="E145" s="62"/>
      <c r="F145" s="62"/>
      <c r="G145" s="62"/>
      <c r="H145" s="62"/>
      <c r="I145" s="62"/>
      <c r="J145" s="62"/>
      <c r="K145" s="62"/>
      <c r="L145" s="58"/>
    </row>
    <row r="146" spans="1:12" x14ac:dyDescent="0.4">
      <c r="A146" s="59"/>
      <c r="B146" s="60"/>
      <c r="C146" s="60"/>
      <c r="D146" s="60"/>
      <c r="E146" s="60"/>
      <c r="F146" s="60"/>
      <c r="G146" s="60"/>
      <c r="H146" s="60"/>
      <c r="I146" s="60"/>
      <c r="J146" s="60"/>
      <c r="K146" s="60"/>
      <c r="L146" s="61"/>
    </row>
    <row r="147" spans="1:12" x14ac:dyDescent="0.4">
      <c r="A147" s="54">
        <v>0</v>
      </c>
      <c r="B147" s="55">
        <v>19</v>
      </c>
      <c r="C147" s="55">
        <v>14</v>
      </c>
      <c r="D147" s="55">
        <v>17</v>
      </c>
      <c r="E147" s="55">
        <v>14</v>
      </c>
      <c r="F147" s="55">
        <v>0</v>
      </c>
      <c r="G147" s="55">
        <v>1612</v>
      </c>
      <c r="H147" s="55">
        <v>1</v>
      </c>
      <c r="I147" s="55">
        <v>100</v>
      </c>
      <c r="J147" s="55">
        <v>30</v>
      </c>
      <c r="K147" s="55">
        <v>40</v>
      </c>
      <c r="L147" s="56">
        <v>30</v>
      </c>
    </row>
    <row r="148" spans="1:12" x14ac:dyDescent="0.4">
      <c r="A148" s="57" t="s">
        <v>134</v>
      </c>
      <c r="B148" s="62">
        <v>4</v>
      </c>
      <c r="C148" s="62"/>
      <c r="D148" s="62"/>
      <c r="E148" s="62"/>
      <c r="F148" s="62"/>
      <c r="G148" s="62"/>
      <c r="H148" s="62"/>
      <c r="I148" s="62"/>
      <c r="J148" s="62">
        <v>1</v>
      </c>
      <c r="K148" s="62">
        <v>7</v>
      </c>
      <c r="L148" s="58">
        <v>14</v>
      </c>
    </row>
    <row r="149" spans="1:12" x14ac:dyDescent="0.4">
      <c r="A149" s="57" t="s">
        <v>141</v>
      </c>
      <c r="B149" s="62">
        <v>4</v>
      </c>
      <c r="C149" s="62">
        <v>1</v>
      </c>
      <c r="D149" s="62">
        <v>4</v>
      </c>
      <c r="E149" s="62">
        <v>0</v>
      </c>
      <c r="F149" s="62">
        <v>1</v>
      </c>
      <c r="G149" s="62">
        <v>0</v>
      </c>
      <c r="H149" s="62"/>
      <c r="I149" s="62"/>
      <c r="J149" s="62"/>
      <c r="K149" s="62"/>
      <c r="L149" s="58"/>
    </row>
    <row r="150" spans="1:12" x14ac:dyDescent="0.4">
      <c r="A150" s="57" t="s">
        <v>142</v>
      </c>
      <c r="B150" s="62">
        <v>10</v>
      </c>
      <c r="C150" s="62">
        <v>5</v>
      </c>
      <c r="D150" s="62">
        <v>14</v>
      </c>
      <c r="E150" s="62">
        <v>0</v>
      </c>
      <c r="F150" s="62">
        <v>1</v>
      </c>
      <c r="G150" s="62">
        <v>0</v>
      </c>
      <c r="H150" s="62"/>
      <c r="I150" s="62"/>
      <c r="J150" s="62"/>
      <c r="K150" s="62"/>
      <c r="L150" s="58"/>
    </row>
    <row r="151" spans="1:12" x14ac:dyDescent="0.4">
      <c r="A151" s="57" t="s">
        <v>143</v>
      </c>
      <c r="B151" s="62">
        <v>4</v>
      </c>
      <c r="C151" s="62">
        <v>10</v>
      </c>
      <c r="D151" s="62">
        <v>14</v>
      </c>
      <c r="E151" s="62">
        <v>1</v>
      </c>
      <c r="F151" s="62">
        <v>0</v>
      </c>
      <c r="G151" s="62">
        <v>0</v>
      </c>
      <c r="H151" s="62"/>
      <c r="I151" s="62"/>
      <c r="J151" s="62"/>
      <c r="K151" s="62"/>
      <c r="L151" s="58"/>
    </row>
    <row r="152" spans="1:12" x14ac:dyDescent="0.4">
      <c r="A152" s="57" t="s">
        <v>144</v>
      </c>
      <c r="B152" s="62">
        <v>4</v>
      </c>
      <c r="C152" s="62">
        <v>5</v>
      </c>
      <c r="D152" s="62">
        <v>9</v>
      </c>
      <c r="E152" s="62">
        <v>0</v>
      </c>
      <c r="F152" s="62">
        <v>0</v>
      </c>
      <c r="G152" s="62">
        <v>1</v>
      </c>
      <c r="H152" s="62"/>
      <c r="I152" s="62"/>
      <c r="J152" s="62"/>
      <c r="K152" s="62"/>
      <c r="L152" s="58"/>
    </row>
    <row r="153" spans="1:12" x14ac:dyDescent="0.4">
      <c r="A153" s="57"/>
      <c r="B153" s="62"/>
      <c r="C153" s="62"/>
      <c r="D153" s="62"/>
      <c r="E153" s="62"/>
      <c r="F153" s="62"/>
      <c r="G153" s="62"/>
      <c r="H153" s="62"/>
      <c r="I153" s="62"/>
      <c r="J153" s="62"/>
      <c r="K153" s="62"/>
      <c r="L153" s="58"/>
    </row>
    <row r="154" spans="1:12" x14ac:dyDescent="0.4">
      <c r="A154" s="59"/>
      <c r="B154" s="60"/>
      <c r="C154" s="60"/>
      <c r="D154" s="60"/>
      <c r="E154" s="60"/>
      <c r="F154" s="60"/>
      <c r="G154" s="60"/>
      <c r="H154" s="60"/>
      <c r="I154" s="60"/>
      <c r="J154" s="60"/>
      <c r="K154" s="60"/>
      <c r="L154" s="61"/>
    </row>
    <row r="155" spans="1:12" x14ac:dyDescent="0.4">
      <c r="A155" s="54">
        <v>0</v>
      </c>
      <c r="B155" s="55">
        <v>20</v>
      </c>
      <c r="C155" s="55">
        <v>14</v>
      </c>
      <c r="D155" s="55">
        <v>16</v>
      </c>
      <c r="E155" s="55">
        <v>2</v>
      </c>
      <c r="F155" s="55">
        <v>0</v>
      </c>
      <c r="G155" s="55">
        <v>192</v>
      </c>
      <c r="H155" s="55">
        <v>1</v>
      </c>
      <c r="I155" s="55">
        <v>100</v>
      </c>
      <c r="J155" s="55">
        <v>40</v>
      </c>
      <c r="K155" s="55">
        <v>60</v>
      </c>
      <c r="L155" s="56"/>
    </row>
    <row r="156" spans="1:12" x14ac:dyDescent="0.4">
      <c r="A156" s="57" t="s">
        <v>134</v>
      </c>
      <c r="B156" s="62">
        <v>1</v>
      </c>
      <c r="C156" s="62"/>
      <c r="D156" s="62"/>
      <c r="E156" s="62"/>
      <c r="F156" s="62"/>
      <c r="G156" s="62"/>
      <c r="H156" s="62"/>
      <c r="I156" s="62"/>
      <c r="J156" s="62">
        <v>1</v>
      </c>
      <c r="K156" s="62">
        <v>2</v>
      </c>
      <c r="L156" s="58">
        <v>0</v>
      </c>
    </row>
    <row r="157" spans="1:12" x14ac:dyDescent="0.4">
      <c r="A157" s="57" t="s">
        <v>141</v>
      </c>
      <c r="B157" s="62">
        <v>2</v>
      </c>
      <c r="C157" s="62">
        <v>1</v>
      </c>
      <c r="D157" s="62">
        <v>2</v>
      </c>
      <c r="E157" s="62">
        <v>1</v>
      </c>
      <c r="F157" s="62">
        <v>0</v>
      </c>
      <c r="G157" s="62">
        <v>0</v>
      </c>
      <c r="H157" s="62"/>
      <c r="I157" s="62"/>
      <c r="J157" s="62"/>
      <c r="K157" s="62"/>
      <c r="L157" s="58"/>
    </row>
    <row r="158" spans="1:12" x14ac:dyDescent="0.4">
      <c r="A158" s="57" t="s">
        <v>142</v>
      </c>
      <c r="B158" s="62">
        <v>0</v>
      </c>
      <c r="C158" s="62">
        <v>0</v>
      </c>
      <c r="D158" s="62">
        <v>0</v>
      </c>
      <c r="E158" s="62">
        <v>0</v>
      </c>
      <c r="F158" s="62">
        <v>0</v>
      </c>
      <c r="G158" s="62">
        <v>0</v>
      </c>
      <c r="H158" s="62"/>
      <c r="I158" s="62"/>
      <c r="J158" s="62"/>
      <c r="K158" s="62"/>
      <c r="L158" s="58"/>
    </row>
    <row r="159" spans="1:12" x14ac:dyDescent="0.4">
      <c r="A159" s="57" t="s">
        <v>143</v>
      </c>
      <c r="B159" s="62">
        <v>0</v>
      </c>
      <c r="C159" s="62">
        <v>0</v>
      </c>
      <c r="D159" s="62">
        <v>0</v>
      </c>
      <c r="E159" s="62">
        <v>0</v>
      </c>
      <c r="F159" s="62">
        <v>0</v>
      </c>
      <c r="G159" s="62">
        <v>0</v>
      </c>
      <c r="H159" s="62"/>
      <c r="I159" s="62"/>
      <c r="J159" s="62"/>
      <c r="K159" s="62"/>
      <c r="L159" s="58"/>
    </row>
    <row r="160" spans="1:12" x14ac:dyDescent="0.4">
      <c r="A160" s="57" t="s">
        <v>144</v>
      </c>
      <c r="B160" s="62">
        <v>0</v>
      </c>
      <c r="C160" s="62">
        <v>0</v>
      </c>
      <c r="D160" s="62">
        <v>0</v>
      </c>
      <c r="E160" s="62">
        <v>0</v>
      </c>
      <c r="F160" s="62">
        <v>0</v>
      </c>
      <c r="G160" s="62">
        <v>0</v>
      </c>
      <c r="H160" s="62"/>
      <c r="I160" s="62"/>
      <c r="J160" s="62"/>
      <c r="K160" s="62"/>
      <c r="L160" s="58"/>
    </row>
    <row r="161" spans="1:12" x14ac:dyDescent="0.4">
      <c r="A161" s="57"/>
      <c r="B161" s="62"/>
      <c r="C161" s="62"/>
      <c r="D161" s="62"/>
      <c r="E161" s="62"/>
      <c r="F161" s="62"/>
      <c r="G161" s="62"/>
      <c r="H161" s="62"/>
      <c r="I161" s="62"/>
      <c r="J161" s="62"/>
      <c r="K161" s="62"/>
      <c r="L161" s="58"/>
    </row>
    <row r="162" spans="1:12" x14ac:dyDescent="0.4">
      <c r="A162" s="59"/>
      <c r="B162" s="60"/>
      <c r="C162" s="60"/>
      <c r="D162" s="60"/>
      <c r="E162" s="60"/>
      <c r="F162" s="60"/>
      <c r="G162" s="60"/>
      <c r="H162" s="60"/>
      <c r="I162" s="60"/>
      <c r="J162" s="60"/>
      <c r="K162" s="60"/>
      <c r="L162" s="61"/>
    </row>
    <row r="163" spans="1:12" x14ac:dyDescent="0.4">
      <c r="A163" s="54">
        <v>0</v>
      </c>
      <c r="B163" s="55">
        <v>21</v>
      </c>
      <c r="C163" s="55">
        <v>14</v>
      </c>
      <c r="D163" s="55">
        <v>15</v>
      </c>
      <c r="E163" s="55">
        <v>3</v>
      </c>
      <c r="F163" s="55">
        <v>0</v>
      </c>
      <c r="G163" s="55">
        <v>222</v>
      </c>
      <c r="H163" s="55">
        <v>1</v>
      </c>
      <c r="I163" s="55">
        <v>100</v>
      </c>
      <c r="J163" s="55">
        <v>40</v>
      </c>
      <c r="K163" s="55">
        <v>60</v>
      </c>
      <c r="L163" s="56"/>
    </row>
    <row r="164" spans="1:12" x14ac:dyDescent="0.4">
      <c r="A164" s="57" t="s">
        <v>134</v>
      </c>
      <c r="B164" s="62">
        <v>1</v>
      </c>
      <c r="C164" s="62"/>
      <c r="D164" s="62"/>
      <c r="E164" s="62"/>
      <c r="F164" s="62"/>
      <c r="G164" s="62"/>
      <c r="H164" s="62"/>
      <c r="I164" s="62"/>
      <c r="J164" s="62">
        <v>1</v>
      </c>
      <c r="K164" s="62">
        <v>3</v>
      </c>
      <c r="L164" s="58">
        <v>0</v>
      </c>
    </row>
    <row r="165" spans="1:12" x14ac:dyDescent="0.4">
      <c r="A165" s="57" t="s">
        <v>141</v>
      </c>
      <c r="B165" s="62">
        <v>3</v>
      </c>
      <c r="C165" s="62">
        <v>1</v>
      </c>
      <c r="D165" s="62">
        <v>3</v>
      </c>
      <c r="E165" s="62">
        <v>0</v>
      </c>
      <c r="F165" s="62">
        <v>1</v>
      </c>
      <c r="G165" s="62">
        <v>0</v>
      </c>
      <c r="H165" s="62"/>
      <c r="I165" s="62"/>
      <c r="J165" s="62"/>
      <c r="K165" s="62"/>
      <c r="L165" s="58"/>
    </row>
    <row r="166" spans="1:12" x14ac:dyDescent="0.4">
      <c r="A166" s="57" t="s">
        <v>142</v>
      </c>
      <c r="B166" s="62">
        <v>0</v>
      </c>
      <c r="C166" s="62">
        <v>0</v>
      </c>
      <c r="D166" s="62">
        <v>0</v>
      </c>
      <c r="E166" s="62">
        <v>0</v>
      </c>
      <c r="F166" s="62">
        <v>0</v>
      </c>
      <c r="G166" s="62">
        <v>0</v>
      </c>
      <c r="H166" s="62"/>
      <c r="I166" s="62"/>
      <c r="J166" s="62"/>
      <c r="K166" s="62"/>
      <c r="L166" s="58"/>
    </row>
    <row r="167" spans="1:12" x14ac:dyDescent="0.4">
      <c r="A167" s="57" t="s">
        <v>143</v>
      </c>
      <c r="B167" s="62">
        <v>0</v>
      </c>
      <c r="C167" s="62">
        <v>0</v>
      </c>
      <c r="D167" s="62">
        <v>0</v>
      </c>
      <c r="E167" s="62">
        <v>0</v>
      </c>
      <c r="F167" s="62">
        <v>0</v>
      </c>
      <c r="G167" s="62">
        <v>0</v>
      </c>
      <c r="H167" s="62"/>
      <c r="I167" s="62"/>
      <c r="J167" s="62"/>
      <c r="K167" s="62"/>
      <c r="L167" s="58"/>
    </row>
    <row r="168" spans="1:12" x14ac:dyDescent="0.4">
      <c r="A168" s="57" t="s">
        <v>144</v>
      </c>
      <c r="B168" s="62">
        <v>0</v>
      </c>
      <c r="C168" s="62">
        <v>0</v>
      </c>
      <c r="D168" s="62">
        <v>0</v>
      </c>
      <c r="E168" s="62">
        <v>0</v>
      </c>
      <c r="F168" s="62">
        <v>0</v>
      </c>
      <c r="G168" s="62">
        <v>0</v>
      </c>
      <c r="H168" s="62"/>
      <c r="I168" s="62"/>
      <c r="J168" s="62"/>
      <c r="K168" s="62"/>
      <c r="L168" s="58"/>
    </row>
    <row r="169" spans="1:12" x14ac:dyDescent="0.4">
      <c r="A169" s="57"/>
      <c r="B169" s="62"/>
      <c r="C169" s="62"/>
      <c r="D169" s="62"/>
      <c r="E169" s="62"/>
      <c r="F169" s="62"/>
      <c r="G169" s="62"/>
      <c r="H169" s="62"/>
      <c r="I169" s="62"/>
      <c r="J169" s="62"/>
      <c r="K169" s="62"/>
      <c r="L169" s="58"/>
    </row>
    <row r="170" spans="1:12" x14ac:dyDescent="0.4">
      <c r="A170" s="59"/>
      <c r="B170" s="60"/>
      <c r="C170" s="60"/>
      <c r="D170" s="60"/>
      <c r="E170" s="60"/>
      <c r="F170" s="60"/>
      <c r="G170" s="60"/>
      <c r="H170" s="60"/>
      <c r="I170" s="60"/>
      <c r="J170" s="60"/>
      <c r="K170" s="60"/>
      <c r="L170" s="61"/>
    </row>
    <row r="171" spans="1:12" x14ac:dyDescent="0.4">
      <c r="A171" s="54">
        <v>0</v>
      </c>
      <c r="B171" s="55">
        <v>22</v>
      </c>
      <c r="C171" s="55">
        <v>15</v>
      </c>
      <c r="D171" s="55">
        <v>17</v>
      </c>
      <c r="E171" s="55">
        <v>2</v>
      </c>
      <c r="F171" s="55">
        <v>0</v>
      </c>
      <c r="G171" s="55">
        <v>96</v>
      </c>
      <c r="H171" s="55">
        <v>1</v>
      </c>
      <c r="I171" s="55">
        <v>100</v>
      </c>
      <c r="J171" s="55">
        <v>40</v>
      </c>
      <c r="K171" s="55">
        <v>60</v>
      </c>
      <c r="L171" s="56"/>
    </row>
    <row r="172" spans="1:12" x14ac:dyDescent="0.4">
      <c r="A172" s="57" t="s">
        <v>134</v>
      </c>
      <c r="B172" s="62">
        <v>1</v>
      </c>
      <c r="C172" s="62"/>
      <c r="D172" s="62"/>
      <c r="E172" s="62"/>
      <c r="F172" s="62"/>
      <c r="G172" s="62"/>
      <c r="H172" s="62"/>
      <c r="I172" s="62"/>
      <c r="J172" s="62">
        <v>1</v>
      </c>
      <c r="K172" s="62">
        <v>2</v>
      </c>
      <c r="L172" s="58">
        <v>0</v>
      </c>
    </row>
    <row r="173" spans="1:12" x14ac:dyDescent="0.4">
      <c r="A173" s="57" t="s">
        <v>141</v>
      </c>
      <c r="B173" s="62">
        <v>2</v>
      </c>
      <c r="C173" s="62">
        <v>1</v>
      </c>
      <c r="D173" s="62">
        <v>2</v>
      </c>
      <c r="E173" s="62">
        <v>0</v>
      </c>
      <c r="F173" s="62">
        <v>0</v>
      </c>
      <c r="G173" s="62">
        <v>1</v>
      </c>
      <c r="H173" s="62"/>
      <c r="I173" s="62"/>
      <c r="J173" s="62"/>
      <c r="K173" s="62"/>
      <c r="L173" s="58"/>
    </row>
    <row r="174" spans="1:12" x14ac:dyDescent="0.4">
      <c r="A174" s="57" t="s">
        <v>142</v>
      </c>
      <c r="B174" s="62">
        <v>0</v>
      </c>
      <c r="C174" s="62">
        <v>0</v>
      </c>
      <c r="D174" s="62">
        <v>0</v>
      </c>
      <c r="E174" s="62">
        <v>0</v>
      </c>
      <c r="F174" s="62">
        <v>0</v>
      </c>
      <c r="G174" s="62">
        <v>0</v>
      </c>
      <c r="H174" s="62"/>
      <c r="I174" s="62"/>
      <c r="J174" s="62"/>
      <c r="K174" s="62"/>
      <c r="L174" s="58"/>
    </row>
    <row r="175" spans="1:12" x14ac:dyDescent="0.4">
      <c r="A175" s="57" t="s">
        <v>143</v>
      </c>
      <c r="B175" s="62">
        <v>0</v>
      </c>
      <c r="C175" s="62">
        <v>0</v>
      </c>
      <c r="D175" s="62">
        <v>0</v>
      </c>
      <c r="E175" s="62">
        <v>0</v>
      </c>
      <c r="F175" s="62">
        <v>0</v>
      </c>
      <c r="G175" s="62">
        <v>0</v>
      </c>
      <c r="H175" s="62"/>
      <c r="I175" s="62"/>
      <c r="J175" s="62"/>
      <c r="K175" s="62"/>
      <c r="L175" s="58"/>
    </row>
    <row r="176" spans="1:12" x14ac:dyDescent="0.4">
      <c r="A176" s="57" t="s">
        <v>144</v>
      </c>
      <c r="B176" s="62">
        <v>0</v>
      </c>
      <c r="C176" s="62">
        <v>0</v>
      </c>
      <c r="D176" s="62">
        <v>0</v>
      </c>
      <c r="E176" s="62">
        <v>0</v>
      </c>
      <c r="F176" s="62">
        <v>0</v>
      </c>
      <c r="G176" s="62">
        <v>0</v>
      </c>
      <c r="H176" s="62"/>
      <c r="I176" s="62"/>
      <c r="J176" s="62"/>
      <c r="K176" s="62"/>
      <c r="L176" s="58"/>
    </row>
    <row r="177" spans="1:12" x14ac:dyDescent="0.4">
      <c r="A177" s="57"/>
      <c r="B177" s="62"/>
      <c r="C177" s="62"/>
      <c r="D177" s="62"/>
      <c r="E177" s="62"/>
      <c r="F177" s="62"/>
      <c r="G177" s="62"/>
      <c r="H177" s="62"/>
      <c r="I177" s="62"/>
      <c r="J177" s="62"/>
      <c r="K177" s="62"/>
      <c r="L177" s="58"/>
    </row>
    <row r="178" spans="1:12" x14ac:dyDescent="0.4">
      <c r="A178" s="59"/>
      <c r="B178" s="60"/>
      <c r="C178" s="60"/>
      <c r="D178" s="60"/>
      <c r="E178" s="60"/>
      <c r="F178" s="60"/>
      <c r="G178" s="60"/>
      <c r="H178" s="60"/>
      <c r="I178" s="60"/>
      <c r="J178" s="60"/>
      <c r="K178" s="60"/>
      <c r="L178" s="61"/>
    </row>
    <row r="179" spans="1:12" x14ac:dyDescent="0.4">
      <c r="A179" s="54">
        <v>0</v>
      </c>
      <c r="B179" s="55">
        <v>23</v>
      </c>
      <c r="C179" s="55">
        <v>15</v>
      </c>
      <c r="D179" s="55">
        <v>15</v>
      </c>
      <c r="E179" s="55">
        <v>2</v>
      </c>
      <c r="F179" s="55">
        <v>0</v>
      </c>
      <c r="G179" s="55">
        <v>148</v>
      </c>
      <c r="H179" s="55">
        <v>1</v>
      </c>
      <c r="I179" s="55">
        <v>100</v>
      </c>
      <c r="J179" s="55">
        <v>50</v>
      </c>
      <c r="K179" s="55">
        <v>50</v>
      </c>
      <c r="L179" s="56"/>
    </row>
    <row r="180" spans="1:12" x14ac:dyDescent="0.4">
      <c r="A180" s="57" t="s">
        <v>134</v>
      </c>
      <c r="B180" s="62">
        <v>1</v>
      </c>
      <c r="C180" s="62"/>
      <c r="D180" s="62"/>
      <c r="E180" s="62"/>
      <c r="F180" s="62"/>
      <c r="G180" s="62"/>
      <c r="H180" s="62"/>
      <c r="I180" s="62"/>
      <c r="J180" s="62">
        <v>1</v>
      </c>
      <c r="K180" s="62">
        <v>2</v>
      </c>
      <c r="L180" s="58">
        <v>0</v>
      </c>
    </row>
    <row r="181" spans="1:12" x14ac:dyDescent="0.4">
      <c r="A181" s="57" t="s">
        <v>141</v>
      </c>
      <c r="B181" s="62">
        <v>2</v>
      </c>
      <c r="C181" s="62">
        <v>1</v>
      </c>
      <c r="D181" s="62">
        <v>2</v>
      </c>
      <c r="E181" s="62">
        <v>0</v>
      </c>
      <c r="F181" s="62">
        <v>1</v>
      </c>
      <c r="G181" s="62">
        <v>0</v>
      </c>
      <c r="H181" s="62"/>
      <c r="I181" s="62"/>
      <c r="J181" s="62"/>
      <c r="K181" s="62"/>
      <c r="L181" s="58"/>
    </row>
    <row r="182" spans="1:12" x14ac:dyDescent="0.4">
      <c r="A182" s="57" t="s">
        <v>142</v>
      </c>
      <c r="B182" s="62">
        <v>0</v>
      </c>
      <c r="C182" s="62">
        <v>0</v>
      </c>
      <c r="D182" s="62">
        <v>0</v>
      </c>
      <c r="E182" s="62">
        <v>0</v>
      </c>
      <c r="F182" s="62">
        <v>0</v>
      </c>
      <c r="G182" s="62">
        <v>0</v>
      </c>
      <c r="H182" s="62"/>
      <c r="I182" s="62"/>
      <c r="J182" s="62"/>
      <c r="K182" s="62"/>
      <c r="L182" s="58"/>
    </row>
    <row r="183" spans="1:12" x14ac:dyDescent="0.4">
      <c r="A183" s="57" t="s">
        <v>143</v>
      </c>
      <c r="B183" s="62">
        <v>0</v>
      </c>
      <c r="C183" s="62">
        <v>0</v>
      </c>
      <c r="D183" s="62">
        <v>0</v>
      </c>
      <c r="E183" s="62">
        <v>0</v>
      </c>
      <c r="F183" s="62">
        <v>0</v>
      </c>
      <c r="G183" s="62">
        <v>0</v>
      </c>
      <c r="H183" s="62"/>
      <c r="I183" s="62"/>
      <c r="J183" s="62"/>
      <c r="K183" s="62"/>
      <c r="L183" s="58"/>
    </row>
    <row r="184" spans="1:12" x14ac:dyDescent="0.4">
      <c r="A184" s="57" t="s">
        <v>144</v>
      </c>
      <c r="B184" s="62">
        <v>0</v>
      </c>
      <c r="C184" s="62">
        <v>0</v>
      </c>
      <c r="D184" s="62">
        <v>0</v>
      </c>
      <c r="E184" s="62">
        <v>0</v>
      </c>
      <c r="F184" s="62">
        <v>0</v>
      </c>
      <c r="G184" s="62">
        <v>0</v>
      </c>
      <c r="H184" s="62"/>
      <c r="I184" s="62"/>
      <c r="J184" s="62"/>
      <c r="K184" s="62"/>
      <c r="L184" s="58"/>
    </row>
    <row r="185" spans="1:12" x14ac:dyDescent="0.4">
      <c r="A185" s="57"/>
      <c r="B185" s="62"/>
      <c r="C185" s="62"/>
      <c r="D185" s="62"/>
      <c r="E185" s="62"/>
      <c r="F185" s="62"/>
      <c r="G185" s="62"/>
      <c r="H185" s="62"/>
      <c r="I185" s="62"/>
      <c r="J185" s="62"/>
      <c r="K185" s="62"/>
      <c r="L185" s="58"/>
    </row>
    <row r="186" spans="1:12" x14ac:dyDescent="0.4">
      <c r="A186" s="59"/>
      <c r="B186" s="60"/>
      <c r="C186" s="60"/>
      <c r="D186" s="60"/>
      <c r="E186" s="60"/>
      <c r="F186" s="60"/>
      <c r="G186" s="60"/>
      <c r="H186" s="60"/>
      <c r="I186" s="60"/>
      <c r="J186" s="60"/>
      <c r="K186" s="60"/>
      <c r="L186" s="61"/>
    </row>
    <row r="187" spans="1:12" x14ac:dyDescent="0.4">
      <c r="A187" s="54">
        <v>0</v>
      </c>
      <c r="B187" s="55">
        <v>24</v>
      </c>
      <c r="C187" s="55">
        <v>16</v>
      </c>
      <c r="D187" s="55">
        <v>17</v>
      </c>
      <c r="E187" s="55">
        <v>45</v>
      </c>
      <c r="F187" s="55">
        <v>0</v>
      </c>
      <c r="G187" s="55">
        <v>4096</v>
      </c>
      <c r="H187" s="55">
        <v>1</v>
      </c>
      <c r="I187" s="55">
        <v>100</v>
      </c>
      <c r="J187" s="55">
        <v>30</v>
      </c>
      <c r="K187" s="55">
        <v>40</v>
      </c>
      <c r="L187" s="56">
        <v>30</v>
      </c>
    </row>
    <row r="188" spans="1:12" x14ac:dyDescent="0.4">
      <c r="A188" s="57" t="s">
        <v>134</v>
      </c>
      <c r="B188" s="62">
        <v>4</v>
      </c>
      <c r="C188" s="62"/>
      <c r="D188" s="62"/>
      <c r="E188" s="62"/>
      <c r="F188" s="62"/>
      <c r="G188" s="62"/>
      <c r="H188" s="62"/>
      <c r="I188" s="62"/>
      <c r="J188" s="62">
        <v>1</v>
      </c>
      <c r="K188" s="62">
        <v>23</v>
      </c>
      <c r="L188" s="58">
        <v>45</v>
      </c>
    </row>
    <row r="189" spans="1:12" x14ac:dyDescent="0.4">
      <c r="A189" s="57" t="s">
        <v>141</v>
      </c>
      <c r="B189" s="62">
        <v>9</v>
      </c>
      <c r="C189" s="62">
        <v>1</v>
      </c>
      <c r="D189" s="62">
        <v>9</v>
      </c>
      <c r="E189" s="62">
        <v>0</v>
      </c>
      <c r="F189" s="62">
        <v>1</v>
      </c>
      <c r="G189" s="62">
        <v>0</v>
      </c>
      <c r="H189" s="62"/>
      <c r="I189" s="62"/>
      <c r="J189" s="62"/>
      <c r="K189" s="62"/>
      <c r="L189" s="58"/>
    </row>
    <row r="190" spans="1:12" x14ac:dyDescent="0.4">
      <c r="A190" s="57" t="s">
        <v>142</v>
      </c>
      <c r="B190" s="62">
        <v>36</v>
      </c>
      <c r="C190" s="62">
        <v>10</v>
      </c>
      <c r="D190" s="62">
        <v>45</v>
      </c>
      <c r="E190" s="62">
        <v>0</v>
      </c>
      <c r="F190" s="62">
        <v>0</v>
      </c>
      <c r="G190" s="62">
        <v>1</v>
      </c>
      <c r="H190" s="62"/>
      <c r="I190" s="62"/>
      <c r="J190" s="62"/>
      <c r="K190" s="62"/>
      <c r="L190" s="58"/>
    </row>
    <row r="191" spans="1:12" x14ac:dyDescent="0.4">
      <c r="A191" s="57" t="s">
        <v>143</v>
      </c>
      <c r="B191" s="62">
        <v>9</v>
      </c>
      <c r="C191" s="62">
        <v>36</v>
      </c>
      <c r="D191" s="62">
        <v>45</v>
      </c>
      <c r="E191" s="62">
        <v>0</v>
      </c>
      <c r="F191" s="62">
        <v>1</v>
      </c>
      <c r="G191" s="62">
        <v>0</v>
      </c>
      <c r="H191" s="62"/>
      <c r="I191" s="62"/>
      <c r="J191" s="62"/>
      <c r="K191" s="62"/>
      <c r="L191" s="58"/>
    </row>
    <row r="192" spans="1:12" x14ac:dyDescent="0.4">
      <c r="A192" s="57" t="s">
        <v>144</v>
      </c>
      <c r="B192" s="62">
        <v>14</v>
      </c>
      <c r="C192" s="62">
        <v>21</v>
      </c>
      <c r="D192" s="62">
        <v>35</v>
      </c>
      <c r="E192" s="62">
        <v>0</v>
      </c>
      <c r="F192" s="62">
        <v>1</v>
      </c>
      <c r="G192" s="62">
        <v>0</v>
      </c>
      <c r="H192" s="62"/>
      <c r="I192" s="62"/>
      <c r="J192" s="62"/>
      <c r="K192" s="62"/>
      <c r="L192" s="58"/>
    </row>
    <row r="193" spans="1:12" x14ac:dyDescent="0.4">
      <c r="A193" s="57"/>
      <c r="B193" s="62"/>
      <c r="C193" s="62"/>
      <c r="D193" s="62"/>
      <c r="E193" s="62"/>
      <c r="F193" s="62"/>
      <c r="G193" s="62"/>
      <c r="H193" s="62"/>
      <c r="I193" s="62"/>
      <c r="J193" s="62"/>
      <c r="K193" s="62"/>
      <c r="L193" s="58"/>
    </row>
    <row r="194" spans="1:12" x14ac:dyDescent="0.4">
      <c r="A194" s="59"/>
      <c r="B194" s="60"/>
      <c r="C194" s="60"/>
      <c r="D194" s="60"/>
      <c r="E194" s="60"/>
      <c r="F194" s="60"/>
      <c r="G194" s="60"/>
      <c r="H194" s="60"/>
      <c r="I194" s="60"/>
      <c r="J194" s="60"/>
      <c r="K194" s="60"/>
      <c r="L194" s="61"/>
    </row>
    <row r="195" spans="1:12" x14ac:dyDescent="0.4">
      <c r="A195" s="54">
        <v>0</v>
      </c>
      <c r="B195" s="55">
        <v>25</v>
      </c>
      <c r="C195" s="55">
        <v>16</v>
      </c>
      <c r="D195" s="55">
        <v>16</v>
      </c>
      <c r="E195" s="55">
        <v>2</v>
      </c>
      <c r="F195" s="55">
        <v>0</v>
      </c>
      <c r="G195" s="55">
        <v>96</v>
      </c>
      <c r="H195" s="55">
        <v>0</v>
      </c>
      <c r="I195" s="55">
        <v>100</v>
      </c>
      <c r="J195" s="55">
        <v>40</v>
      </c>
      <c r="K195" s="55">
        <v>60</v>
      </c>
      <c r="L195" s="56"/>
    </row>
    <row r="196" spans="1:12" x14ac:dyDescent="0.4">
      <c r="A196" s="57" t="s">
        <v>134</v>
      </c>
      <c r="B196" s="62">
        <v>1</v>
      </c>
      <c r="C196" s="62"/>
      <c r="D196" s="62"/>
      <c r="E196" s="62"/>
      <c r="F196" s="62"/>
      <c r="G196" s="62"/>
      <c r="H196" s="62"/>
      <c r="I196" s="62"/>
      <c r="J196" s="62">
        <v>1</v>
      </c>
      <c r="K196" s="62">
        <v>2</v>
      </c>
      <c r="L196" s="58">
        <v>0</v>
      </c>
    </row>
    <row r="197" spans="1:12" x14ac:dyDescent="0.4">
      <c r="A197" s="57" t="s">
        <v>141</v>
      </c>
      <c r="B197" s="62">
        <v>2</v>
      </c>
      <c r="C197" s="62">
        <v>1</v>
      </c>
      <c r="D197" s="62">
        <v>2</v>
      </c>
      <c r="E197" s="62">
        <v>0</v>
      </c>
      <c r="F197" s="62">
        <v>0</v>
      </c>
      <c r="G197" s="62">
        <v>1</v>
      </c>
      <c r="H197" s="62"/>
      <c r="I197" s="62"/>
      <c r="J197" s="62"/>
      <c r="K197" s="62"/>
      <c r="L197" s="58"/>
    </row>
    <row r="198" spans="1:12" x14ac:dyDescent="0.4">
      <c r="A198" s="57" t="s">
        <v>142</v>
      </c>
      <c r="B198" s="62">
        <v>0</v>
      </c>
      <c r="C198" s="62">
        <v>0</v>
      </c>
      <c r="D198" s="62">
        <v>0</v>
      </c>
      <c r="E198" s="62">
        <v>0</v>
      </c>
      <c r="F198" s="62">
        <v>0</v>
      </c>
      <c r="G198" s="62">
        <v>0</v>
      </c>
      <c r="H198" s="62"/>
      <c r="I198" s="62"/>
      <c r="J198" s="62"/>
      <c r="K198" s="62"/>
      <c r="L198" s="58"/>
    </row>
    <row r="199" spans="1:12" x14ac:dyDescent="0.4">
      <c r="A199" s="57" t="s">
        <v>143</v>
      </c>
      <c r="B199" s="62">
        <v>0</v>
      </c>
      <c r="C199" s="62">
        <v>0</v>
      </c>
      <c r="D199" s="62">
        <v>0</v>
      </c>
      <c r="E199" s="62">
        <v>0</v>
      </c>
      <c r="F199" s="62">
        <v>0</v>
      </c>
      <c r="G199" s="62">
        <v>0</v>
      </c>
      <c r="H199" s="62"/>
      <c r="I199" s="62"/>
      <c r="J199" s="62"/>
      <c r="K199" s="62"/>
      <c r="L199" s="58"/>
    </row>
    <row r="200" spans="1:12" x14ac:dyDescent="0.4">
      <c r="A200" s="57" t="s">
        <v>144</v>
      </c>
      <c r="B200" s="62">
        <v>0</v>
      </c>
      <c r="C200" s="62">
        <v>0</v>
      </c>
      <c r="D200" s="62">
        <v>0</v>
      </c>
      <c r="E200" s="62">
        <v>0</v>
      </c>
      <c r="F200" s="62">
        <v>0</v>
      </c>
      <c r="G200" s="62">
        <v>0</v>
      </c>
      <c r="H200" s="62"/>
      <c r="I200" s="62"/>
      <c r="J200" s="62"/>
      <c r="K200" s="62"/>
      <c r="L200" s="58"/>
    </row>
    <row r="201" spans="1:12" x14ac:dyDescent="0.4">
      <c r="A201" s="57"/>
      <c r="B201" s="62"/>
      <c r="C201" s="62"/>
      <c r="D201" s="62"/>
      <c r="E201" s="62"/>
      <c r="F201" s="62"/>
      <c r="G201" s="62"/>
      <c r="H201" s="62"/>
      <c r="I201" s="62"/>
      <c r="J201" s="62"/>
      <c r="K201" s="62"/>
      <c r="L201" s="58"/>
    </row>
    <row r="202" spans="1:12" x14ac:dyDescent="0.4">
      <c r="A202" s="59"/>
      <c r="B202" s="60"/>
      <c r="C202" s="60"/>
      <c r="D202" s="60"/>
      <c r="E202" s="60"/>
      <c r="F202" s="60"/>
      <c r="G202" s="60"/>
      <c r="H202" s="60"/>
      <c r="I202" s="60"/>
      <c r="J202" s="60"/>
      <c r="K202" s="60"/>
      <c r="L202" s="61"/>
    </row>
    <row r="203" spans="1:12" x14ac:dyDescent="0.4">
      <c r="A203" s="54">
        <v>0</v>
      </c>
      <c r="B203" s="55">
        <v>26</v>
      </c>
      <c r="C203" s="55">
        <v>16</v>
      </c>
      <c r="D203" s="55">
        <v>17</v>
      </c>
      <c r="E203" s="55">
        <v>43</v>
      </c>
      <c r="F203" s="55">
        <v>0</v>
      </c>
      <c r="G203" s="55">
        <v>3936</v>
      </c>
      <c r="H203" s="55">
        <v>1</v>
      </c>
      <c r="I203" s="55">
        <v>100</v>
      </c>
      <c r="J203" s="55">
        <v>30</v>
      </c>
      <c r="K203" s="55">
        <v>40</v>
      </c>
      <c r="L203" s="56">
        <v>30</v>
      </c>
    </row>
    <row r="204" spans="1:12" x14ac:dyDescent="0.4">
      <c r="A204" s="57" t="s">
        <v>134</v>
      </c>
      <c r="B204" s="62">
        <v>4</v>
      </c>
      <c r="C204" s="62"/>
      <c r="D204" s="62"/>
      <c r="E204" s="62"/>
      <c r="F204" s="62"/>
      <c r="G204" s="62"/>
      <c r="H204" s="62"/>
      <c r="I204" s="62"/>
      <c r="J204" s="62">
        <v>1</v>
      </c>
      <c r="K204" s="62">
        <v>22</v>
      </c>
      <c r="L204" s="58">
        <v>43</v>
      </c>
    </row>
    <row r="205" spans="1:12" x14ac:dyDescent="0.4">
      <c r="A205" s="57" t="s">
        <v>141</v>
      </c>
      <c r="B205" s="62">
        <v>9</v>
      </c>
      <c r="C205" s="62">
        <v>1</v>
      </c>
      <c r="D205" s="62">
        <v>9</v>
      </c>
      <c r="E205" s="62">
        <v>1</v>
      </c>
      <c r="F205" s="62">
        <v>0</v>
      </c>
      <c r="G205" s="62">
        <v>0</v>
      </c>
      <c r="H205" s="62"/>
      <c r="I205" s="62"/>
      <c r="J205" s="62"/>
      <c r="K205" s="62"/>
      <c r="L205" s="58"/>
    </row>
    <row r="206" spans="1:12" x14ac:dyDescent="0.4">
      <c r="A206" s="57" t="s">
        <v>142</v>
      </c>
      <c r="B206" s="62">
        <v>34</v>
      </c>
      <c r="C206" s="62">
        <v>10</v>
      </c>
      <c r="D206" s="62">
        <v>43</v>
      </c>
      <c r="E206" s="62">
        <v>0</v>
      </c>
      <c r="F206" s="62">
        <v>0</v>
      </c>
      <c r="G206" s="62">
        <v>1</v>
      </c>
      <c r="H206" s="62"/>
      <c r="I206" s="62"/>
      <c r="J206" s="62"/>
      <c r="K206" s="62"/>
      <c r="L206" s="58"/>
    </row>
    <row r="207" spans="1:12" x14ac:dyDescent="0.4">
      <c r="A207" s="57" t="s">
        <v>143</v>
      </c>
      <c r="B207" s="62">
        <v>12</v>
      </c>
      <c r="C207" s="62">
        <v>31</v>
      </c>
      <c r="D207" s="62">
        <v>43</v>
      </c>
      <c r="E207" s="62">
        <v>0</v>
      </c>
      <c r="F207" s="62">
        <v>0</v>
      </c>
      <c r="G207" s="62">
        <v>1</v>
      </c>
      <c r="H207" s="62"/>
      <c r="I207" s="62"/>
      <c r="J207" s="62"/>
      <c r="K207" s="62"/>
      <c r="L207" s="58"/>
    </row>
    <row r="208" spans="1:12" x14ac:dyDescent="0.4">
      <c r="A208" s="57" t="s">
        <v>144</v>
      </c>
      <c r="B208" s="62">
        <v>9</v>
      </c>
      <c r="C208" s="62">
        <v>21</v>
      </c>
      <c r="D208" s="62">
        <v>30</v>
      </c>
      <c r="E208" s="62">
        <v>1</v>
      </c>
      <c r="F208" s="62">
        <v>0</v>
      </c>
      <c r="G208" s="62">
        <v>0</v>
      </c>
      <c r="H208" s="62"/>
      <c r="I208" s="62"/>
      <c r="J208" s="62"/>
      <c r="K208" s="62"/>
      <c r="L208" s="58"/>
    </row>
    <row r="209" spans="1:12" x14ac:dyDescent="0.4">
      <c r="A209" s="57"/>
      <c r="B209" s="62"/>
      <c r="C209" s="62"/>
      <c r="D209" s="62"/>
      <c r="E209" s="62"/>
      <c r="F209" s="62"/>
      <c r="G209" s="62"/>
      <c r="H209" s="62"/>
      <c r="I209" s="62"/>
      <c r="J209" s="62"/>
      <c r="K209" s="62"/>
      <c r="L209" s="58"/>
    </row>
    <row r="210" spans="1:12" x14ac:dyDescent="0.4">
      <c r="A210" s="59"/>
      <c r="B210" s="60"/>
      <c r="C210" s="60"/>
      <c r="D210" s="60"/>
      <c r="E210" s="60"/>
      <c r="F210" s="60"/>
      <c r="G210" s="60"/>
      <c r="H210" s="60"/>
      <c r="I210" s="60"/>
      <c r="J210" s="60"/>
      <c r="K210" s="60"/>
      <c r="L210" s="61"/>
    </row>
    <row r="211" spans="1:12" x14ac:dyDescent="0.4">
      <c r="A211" s="54">
        <v>0</v>
      </c>
      <c r="B211" s="55">
        <v>27</v>
      </c>
      <c r="C211" s="55">
        <v>17</v>
      </c>
      <c r="D211" s="55">
        <v>18</v>
      </c>
      <c r="E211" s="55">
        <v>4</v>
      </c>
      <c r="F211" s="55">
        <v>0</v>
      </c>
      <c r="G211" s="55">
        <v>384</v>
      </c>
      <c r="H211" s="55">
        <v>1</v>
      </c>
      <c r="I211" s="55">
        <v>100</v>
      </c>
      <c r="J211" s="55">
        <v>50</v>
      </c>
      <c r="K211" s="55">
        <v>50</v>
      </c>
      <c r="L211" s="56"/>
    </row>
    <row r="212" spans="1:12" x14ac:dyDescent="0.4">
      <c r="A212" s="57" t="s">
        <v>134</v>
      </c>
      <c r="B212" s="62">
        <v>1</v>
      </c>
      <c r="C212" s="62"/>
      <c r="D212" s="62"/>
      <c r="E212" s="62"/>
      <c r="F212" s="62"/>
      <c r="G212" s="62"/>
      <c r="H212" s="62"/>
      <c r="I212" s="62"/>
      <c r="J212" s="62">
        <v>1</v>
      </c>
      <c r="K212" s="62">
        <v>4</v>
      </c>
      <c r="L212" s="58">
        <v>0</v>
      </c>
    </row>
    <row r="213" spans="1:12" x14ac:dyDescent="0.4">
      <c r="A213" s="57" t="s">
        <v>141</v>
      </c>
      <c r="B213" s="62">
        <v>4</v>
      </c>
      <c r="C213" s="62">
        <v>1</v>
      </c>
      <c r="D213" s="62">
        <v>4</v>
      </c>
      <c r="E213" s="62">
        <v>1</v>
      </c>
      <c r="F213" s="62">
        <v>0</v>
      </c>
      <c r="G213" s="62">
        <v>0</v>
      </c>
      <c r="H213" s="62"/>
      <c r="I213" s="62"/>
      <c r="J213" s="62"/>
      <c r="K213" s="62"/>
      <c r="L213" s="58"/>
    </row>
    <row r="214" spans="1:12" x14ac:dyDescent="0.4">
      <c r="A214" s="57" t="s">
        <v>142</v>
      </c>
      <c r="B214" s="62">
        <v>0</v>
      </c>
      <c r="C214" s="62">
        <v>0</v>
      </c>
      <c r="D214" s="62">
        <v>0</v>
      </c>
      <c r="E214" s="62">
        <v>0</v>
      </c>
      <c r="F214" s="62">
        <v>0</v>
      </c>
      <c r="G214" s="62">
        <v>0</v>
      </c>
      <c r="H214" s="62"/>
      <c r="I214" s="62"/>
      <c r="J214" s="62"/>
      <c r="K214" s="62"/>
      <c r="L214" s="58"/>
    </row>
    <row r="215" spans="1:12" x14ac:dyDescent="0.4">
      <c r="A215" s="57" t="s">
        <v>143</v>
      </c>
      <c r="B215" s="62">
        <v>0</v>
      </c>
      <c r="C215" s="62">
        <v>0</v>
      </c>
      <c r="D215" s="62">
        <v>0</v>
      </c>
      <c r="E215" s="62">
        <v>0</v>
      </c>
      <c r="F215" s="62">
        <v>0</v>
      </c>
      <c r="G215" s="62">
        <v>0</v>
      </c>
      <c r="H215" s="62"/>
      <c r="I215" s="62"/>
      <c r="J215" s="62"/>
      <c r="K215" s="62"/>
      <c r="L215" s="58"/>
    </row>
    <row r="216" spans="1:12" x14ac:dyDescent="0.4">
      <c r="A216" s="57" t="s">
        <v>144</v>
      </c>
      <c r="B216" s="62">
        <v>0</v>
      </c>
      <c r="C216" s="62">
        <v>0</v>
      </c>
      <c r="D216" s="62">
        <v>0</v>
      </c>
      <c r="E216" s="62">
        <v>0</v>
      </c>
      <c r="F216" s="62">
        <v>0</v>
      </c>
      <c r="G216" s="62">
        <v>0</v>
      </c>
      <c r="H216" s="62"/>
      <c r="I216" s="62"/>
      <c r="J216" s="62"/>
      <c r="K216" s="62"/>
      <c r="L216" s="58"/>
    </row>
    <row r="217" spans="1:12" x14ac:dyDescent="0.4">
      <c r="A217" s="57"/>
      <c r="B217" s="62"/>
      <c r="C217" s="62"/>
      <c r="D217" s="62"/>
      <c r="E217" s="62"/>
      <c r="F217" s="62"/>
      <c r="G217" s="62"/>
      <c r="H217" s="62"/>
      <c r="I217" s="62"/>
      <c r="J217" s="62"/>
      <c r="K217" s="62"/>
      <c r="L217" s="58"/>
    </row>
    <row r="218" spans="1:12" x14ac:dyDescent="0.4">
      <c r="A218" s="59"/>
      <c r="B218" s="60"/>
      <c r="C218" s="60"/>
      <c r="D218" s="60"/>
      <c r="E218" s="60"/>
      <c r="F218" s="60"/>
      <c r="G218" s="60"/>
      <c r="H218" s="60"/>
      <c r="I218" s="60"/>
      <c r="J218" s="60"/>
      <c r="K218" s="60"/>
      <c r="L218" s="61"/>
    </row>
    <row r="219" spans="1:12" x14ac:dyDescent="0.4">
      <c r="A219" s="54">
        <v>0</v>
      </c>
      <c r="B219" s="55">
        <v>28</v>
      </c>
      <c r="C219" s="55">
        <v>17</v>
      </c>
      <c r="D219" s="55">
        <v>18</v>
      </c>
      <c r="E219" s="55">
        <v>22</v>
      </c>
      <c r="F219" s="55">
        <v>0</v>
      </c>
      <c r="G219" s="55">
        <v>2442</v>
      </c>
      <c r="H219" s="55">
        <v>1</v>
      </c>
      <c r="I219" s="55">
        <v>100</v>
      </c>
      <c r="J219" s="55">
        <v>30</v>
      </c>
      <c r="K219" s="55">
        <v>40</v>
      </c>
      <c r="L219" s="56">
        <v>30</v>
      </c>
    </row>
    <row r="220" spans="1:12" x14ac:dyDescent="0.4">
      <c r="A220" s="57" t="s">
        <v>134</v>
      </c>
      <c r="B220" s="62">
        <v>4</v>
      </c>
      <c r="C220" s="62"/>
      <c r="D220" s="62"/>
      <c r="E220" s="62"/>
      <c r="F220" s="62"/>
      <c r="G220" s="62"/>
      <c r="H220" s="62"/>
      <c r="I220" s="62"/>
      <c r="J220" s="62">
        <v>1</v>
      </c>
      <c r="K220" s="62">
        <v>11</v>
      </c>
      <c r="L220" s="58">
        <v>22</v>
      </c>
    </row>
    <row r="221" spans="1:12" x14ac:dyDescent="0.4">
      <c r="A221" s="57" t="s">
        <v>141</v>
      </c>
      <c r="B221" s="62">
        <v>6</v>
      </c>
      <c r="C221" s="62">
        <v>1</v>
      </c>
      <c r="D221" s="62">
        <v>6</v>
      </c>
      <c r="E221" s="62">
        <v>0</v>
      </c>
      <c r="F221" s="62">
        <v>1</v>
      </c>
      <c r="G221" s="62">
        <v>0</v>
      </c>
      <c r="H221" s="62"/>
      <c r="I221" s="62"/>
      <c r="J221" s="62"/>
      <c r="K221" s="62"/>
      <c r="L221" s="58"/>
    </row>
    <row r="222" spans="1:12" x14ac:dyDescent="0.4">
      <c r="A222" s="57" t="s">
        <v>142</v>
      </c>
      <c r="B222" s="62">
        <v>16</v>
      </c>
      <c r="C222" s="62">
        <v>7</v>
      </c>
      <c r="D222" s="62">
        <v>22</v>
      </c>
      <c r="E222" s="62">
        <v>0</v>
      </c>
      <c r="F222" s="62">
        <v>1</v>
      </c>
      <c r="G222" s="62">
        <v>0</v>
      </c>
      <c r="H222" s="62"/>
      <c r="I222" s="62"/>
      <c r="J222" s="62"/>
      <c r="K222" s="62"/>
      <c r="L222" s="58"/>
    </row>
    <row r="223" spans="1:12" x14ac:dyDescent="0.4">
      <c r="A223" s="57" t="s">
        <v>143</v>
      </c>
      <c r="B223" s="62">
        <v>5</v>
      </c>
      <c r="C223" s="62">
        <v>17</v>
      </c>
      <c r="D223" s="62">
        <v>22</v>
      </c>
      <c r="E223" s="62">
        <v>0</v>
      </c>
      <c r="F223" s="62">
        <v>1</v>
      </c>
      <c r="G223" s="62">
        <v>0</v>
      </c>
      <c r="H223" s="62"/>
      <c r="I223" s="62"/>
      <c r="J223" s="62"/>
      <c r="K223" s="62"/>
      <c r="L223" s="58"/>
    </row>
    <row r="224" spans="1:12" x14ac:dyDescent="0.4">
      <c r="A224" s="57" t="s">
        <v>144</v>
      </c>
      <c r="B224" s="62">
        <v>6</v>
      </c>
      <c r="C224" s="62">
        <v>10</v>
      </c>
      <c r="D224" s="62">
        <v>16</v>
      </c>
      <c r="E224" s="62">
        <v>0</v>
      </c>
      <c r="F224" s="62">
        <v>1</v>
      </c>
      <c r="G224" s="62">
        <v>0</v>
      </c>
      <c r="H224" s="62"/>
      <c r="I224" s="62"/>
      <c r="J224" s="62"/>
      <c r="K224" s="62"/>
      <c r="L224" s="58"/>
    </row>
    <row r="225" spans="1:12" x14ac:dyDescent="0.4">
      <c r="A225" s="57"/>
      <c r="B225" s="62"/>
      <c r="C225" s="62"/>
      <c r="D225" s="62"/>
      <c r="E225" s="62"/>
      <c r="F225" s="62"/>
      <c r="G225" s="62"/>
      <c r="H225" s="62"/>
      <c r="I225" s="62"/>
      <c r="J225" s="62"/>
      <c r="K225" s="62"/>
      <c r="L225" s="58"/>
    </row>
    <row r="226" spans="1:12" x14ac:dyDescent="0.4">
      <c r="A226" s="59"/>
      <c r="B226" s="60"/>
      <c r="C226" s="60"/>
      <c r="D226" s="60"/>
      <c r="E226" s="60"/>
      <c r="F226" s="60"/>
      <c r="G226" s="60"/>
      <c r="H226" s="60"/>
      <c r="I226" s="60"/>
      <c r="J226" s="60"/>
      <c r="K226" s="60"/>
      <c r="L226" s="61"/>
    </row>
    <row r="227" spans="1:12" x14ac:dyDescent="0.4">
      <c r="A227" s="54">
        <v>0</v>
      </c>
      <c r="B227" s="55">
        <v>29</v>
      </c>
      <c r="C227" s="55">
        <v>18</v>
      </c>
      <c r="D227" s="55">
        <v>20</v>
      </c>
      <c r="E227" s="55">
        <v>3</v>
      </c>
      <c r="F227" s="55">
        <v>0</v>
      </c>
      <c r="G227" s="55">
        <v>144</v>
      </c>
      <c r="H227" s="55">
        <v>1</v>
      </c>
      <c r="I227" s="55">
        <v>100</v>
      </c>
      <c r="J227" s="55">
        <v>40</v>
      </c>
      <c r="K227" s="55">
        <v>60</v>
      </c>
      <c r="L227" s="56"/>
    </row>
    <row r="228" spans="1:12" x14ac:dyDescent="0.4">
      <c r="A228" s="57" t="s">
        <v>134</v>
      </c>
      <c r="B228" s="62">
        <v>1</v>
      </c>
      <c r="C228" s="62"/>
      <c r="D228" s="62"/>
      <c r="E228" s="62"/>
      <c r="F228" s="62"/>
      <c r="G228" s="62"/>
      <c r="H228" s="62"/>
      <c r="I228" s="62"/>
      <c r="J228" s="62">
        <v>1</v>
      </c>
      <c r="K228" s="62">
        <v>3</v>
      </c>
      <c r="L228" s="58">
        <v>0</v>
      </c>
    </row>
    <row r="229" spans="1:12" x14ac:dyDescent="0.4">
      <c r="A229" s="57" t="s">
        <v>141</v>
      </c>
      <c r="B229" s="62">
        <v>3</v>
      </c>
      <c r="C229" s="62">
        <v>1</v>
      </c>
      <c r="D229" s="62">
        <v>3</v>
      </c>
      <c r="E229" s="62">
        <v>0</v>
      </c>
      <c r="F229" s="62">
        <v>0</v>
      </c>
      <c r="G229" s="62">
        <v>1</v>
      </c>
      <c r="H229" s="62"/>
      <c r="I229" s="62"/>
      <c r="J229" s="62"/>
      <c r="K229" s="62"/>
      <c r="L229" s="58"/>
    </row>
    <row r="230" spans="1:12" x14ac:dyDescent="0.4">
      <c r="A230" s="57" t="s">
        <v>142</v>
      </c>
      <c r="B230" s="62">
        <v>0</v>
      </c>
      <c r="C230" s="62">
        <v>0</v>
      </c>
      <c r="D230" s="62">
        <v>0</v>
      </c>
      <c r="E230" s="62">
        <v>0</v>
      </c>
      <c r="F230" s="62">
        <v>0</v>
      </c>
      <c r="G230" s="62">
        <v>0</v>
      </c>
      <c r="H230" s="62"/>
      <c r="I230" s="62"/>
      <c r="J230" s="62"/>
      <c r="K230" s="62"/>
      <c r="L230" s="58"/>
    </row>
    <row r="231" spans="1:12" x14ac:dyDescent="0.4">
      <c r="A231" s="57" t="s">
        <v>143</v>
      </c>
      <c r="B231" s="62">
        <v>0</v>
      </c>
      <c r="C231" s="62">
        <v>0</v>
      </c>
      <c r="D231" s="62">
        <v>0</v>
      </c>
      <c r="E231" s="62">
        <v>0</v>
      </c>
      <c r="F231" s="62">
        <v>0</v>
      </c>
      <c r="G231" s="62">
        <v>0</v>
      </c>
      <c r="H231" s="62"/>
      <c r="I231" s="62"/>
      <c r="J231" s="62"/>
      <c r="K231" s="62"/>
      <c r="L231" s="58"/>
    </row>
    <row r="232" spans="1:12" x14ac:dyDescent="0.4">
      <c r="A232" s="57" t="s">
        <v>144</v>
      </c>
      <c r="B232" s="62">
        <v>0</v>
      </c>
      <c r="C232" s="62">
        <v>0</v>
      </c>
      <c r="D232" s="62">
        <v>0</v>
      </c>
      <c r="E232" s="62">
        <v>0</v>
      </c>
      <c r="F232" s="62">
        <v>0</v>
      </c>
      <c r="G232" s="62">
        <v>0</v>
      </c>
      <c r="H232" s="62"/>
      <c r="I232" s="62"/>
      <c r="J232" s="62"/>
      <c r="K232" s="62"/>
      <c r="L232" s="58"/>
    </row>
    <row r="233" spans="1:12" x14ac:dyDescent="0.4">
      <c r="A233" s="57"/>
      <c r="B233" s="62"/>
      <c r="C233" s="62"/>
      <c r="D233" s="62"/>
      <c r="E233" s="62"/>
      <c r="F233" s="62"/>
      <c r="G233" s="62"/>
      <c r="H233" s="62"/>
      <c r="I233" s="62"/>
      <c r="J233" s="62"/>
      <c r="K233" s="62"/>
      <c r="L233" s="58"/>
    </row>
    <row r="234" spans="1:12" x14ac:dyDescent="0.4">
      <c r="A234" s="59"/>
      <c r="B234" s="60"/>
      <c r="C234" s="60"/>
      <c r="D234" s="60"/>
      <c r="E234" s="60"/>
      <c r="F234" s="60"/>
      <c r="G234" s="60"/>
      <c r="H234" s="60"/>
      <c r="I234" s="60"/>
      <c r="J234" s="60"/>
      <c r="K234" s="60"/>
      <c r="L234" s="61"/>
    </row>
    <row r="235" spans="1:12" x14ac:dyDescent="0.4">
      <c r="A235" s="54">
        <v>0</v>
      </c>
      <c r="B235" s="55">
        <v>30</v>
      </c>
      <c r="C235" s="55">
        <v>20</v>
      </c>
      <c r="D235" s="55">
        <v>23</v>
      </c>
      <c r="E235" s="55">
        <v>3</v>
      </c>
      <c r="F235" s="55">
        <v>0</v>
      </c>
      <c r="G235" s="55">
        <v>222</v>
      </c>
      <c r="H235" s="55">
        <v>1</v>
      </c>
      <c r="I235" s="55">
        <v>100</v>
      </c>
      <c r="J235" s="55">
        <v>30</v>
      </c>
      <c r="K235" s="55">
        <v>70</v>
      </c>
      <c r="L235" s="56"/>
    </row>
    <row r="236" spans="1:12" x14ac:dyDescent="0.4">
      <c r="A236" s="57" t="s">
        <v>134</v>
      </c>
      <c r="B236" s="62">
        <v>1</v>
      </c>
      <c r="C236" s="62"/>
      <c r="D236" s="62"/>
      <c r="E236" s="62"/>
      <c r="F236" s="62"/>
      <c r="G236" s="62"/>
      <c r="H236" s="62"/>
      <c r="I236" s="62"/>
      <c r="J236" s="62">
        <v>1</v>
      </c>
      <c r="K236" s="62">
        <v>3</v>
      </c>
      <c r="L236" s="58">
        <v>0</v>
      </c>
    </row>
    <row r="237" spans="1:12" x14ac:dyDescent="0.4">
      <c r="A237" s="57" t="s">
        <v>141</v>
      </c>
      <c r="B237" s="62">
        <v>3</v>
      </c>
      <c r="C237" s="62">
        <v>1</v>
      </c>
      <c r="D237" s="62">
        <v>3</v>
      </c>
      <c r="E237" s="62">
        <v>0</v>
      </c>
      <c r="F237" s="62">
        <v>1</v>
      </c>
      <c r="G237" s="62">
        <v>0</v>
      </c>
      <c r="H237" s="62"/>
      <c r="I237" s="62"/>
      <c r="J237" s="62"/>
      <c r="K237" s="62"/>
      <c r="L237" s="58"/>
    </row>
    <row r="238" spans="1:12" x14ac:dyDescent="0.4">
      <c r="A238" s="57" t="s">
        <v>142</v>
      </c>
      <c r="B238" s="62">
        <v>0</v>
      </c>
      <c r="C238" s="62">
        <v>0</v>
      </c>
      <c r="D238" s="62">
        <v>0</v>
      </c>
      <c r="E238" s="62">
        <v>0</v>
      </c>
      <c r="F238" s="62">
        <v>0</v>
      </c>
      <c r="G238" s="62">
        <v>0</v>
      </c>
      <c r="H238" s="62"/>
      <c r="I238" s="62"/>
      <c r="J238" s="62"/>
      <c r="K238" s="62"/>
      <c r="L238" s="58"/>
    </row>
    <row r="239" spans="1:12" x14ac:dyDescent="0.4">
      <c r="A239" s="57" t="s">
        <v>143</v>
      </c>
      <c r="B239" s="62">
        <v>0</v>
      </c>
      <c r="C239" s="62">
        <v>0</v>
      </c>
      <c r="D239" s="62">
        <v>0</v>
      </c>
      <c r="E239" s="62">
        <v>0</v>
      </c>
      <c r="F239" s="62">
        <v>0</v>
      </c>
      <c r="G239" s="62">
        <v>0</v>
      </c>
      <c r="H239" s="62"/>
      <c r="I239" s="62"/>
      <c r="J239" s="62"/>
      <c r="K239" s="62"/>
      <c r="L239" s="58"/>
    </row>
    <row r="240" spans="1:12" x14ac:dyDescent="0.4">
      <c r="A240" s="57" t="s">
        <v>144</v>
      </c>
      <c r="B240" s="62">
        <v>0</v>
      </c>
      <c r="C240" s="62">
        <v>0</v>
      </c>
      <c r="D240" s="62">
        <v>0</v>
      </c>
      <c r="E240" s="62">
        <v>0</v>
      </c>
      <c r="F240" s="62">
        <v>0</v>
      </c>
      <c r="G240" s="62">
        <v>0</v>
      </c>
      <c r="H240" s="62"/>
      <c r="I240" s="62"/>
      <c r="J240" s="62"/>
      <c r="K240" s="62"/>
      <c r="L240" s="58"/>
    </row>
    <row r="241" spans="1:12" x14ac:dyDescent="0.4">
      <c r="A241" s="57"/>
      <c r="B241" s="62"/>
      <c r="C241" s="62"/>
      <c r="D241" s="62"/>
      <c r="E241" s="62"/>
      <c r="F241" s="62"/>
      <c r="G241" s="62"/>
      <c r="H241" s="62"/>
      <c r="I241" s="62"/>
      <c r="J241" s="62"/>
      <c r="K241" s="62"/>
      <c r="L241" s="58"/>
    </row>
    <row r="242" spans="1:12" x14ac:dyDescent="0.4">
      <c r="A242" s="59"/>
      <c r="B242" s="60"/>
      <c r="C242" s="60"/>
      <c r="D242" s="60"/>
      <c r="E242" s="60"/>
      <c r="F242" s="60"/>
      <c r="G242" s="60"/>
      <c r="H242" s="60"/>
      <c r="I242" s="60"/>
      <c r="J242" s="60"/>
      <c r="K242" s="60"/>
      <c r="L242" s="61"/>
    </row>
    <row r="243" spans="1:12" x14ac:dyDescent="0.4">
      <c r="A243" s="54">
        <v>0</v>
      </c>
      <c r="B243" s="55">
        <v>31</v>
      </c>
      <c r="C243" s="55">
        <v>20</v>
      </c>
      <c r="D243" s="55">
        <v>22</v>
      </c>
      <c r="E243" s="55">
        <v>2</v>
      </c>
      <c r="F243" s="55">
        <v>0</v>
      </c>
      <c r="G243" s="55">
        <v>148</v>
      </c>
      <c r="H243" s="55">
        <v>1</v>
      </c>
      <c r="I243" s="55">
        <v>100</v>
      </c>
      <c r="J243" s="55">
        <v>40</v>
      </c>
      <c r="K243" s="55">
        <v>60</v>
      </c>
      <c r="L243" s="56"/>
    </row>
    <row r="244" spans="1:12" x14ac:dyDescent="0.4">
      <c r="A244" s="57" t="s">
        <v>134</v>
      </c>
      <c r="B244" s="62">
        <v>1</v>
      </c>
      <c r="C244" s="62"/>
      <c r="D244" s="62"/>
      <c r="E244" s="62"/>
      <c r="F244" s="62"/>
      <c r="G244" s="62"/>
      <c r="H244" s="62"/>
      <c r="I244" s="62"/>
      <c r="J244" s="62">
        <v>1</v>
      </c>
      <c r="K244" s="62">
        <v>2</v>
      </c>
      <c r="L244" s="58">
        <v>0</v>
      </c>
    </row>
    <row r="245" spans="1:12" x14ac:dyDescent="0.4">
      <c r="A245" s="57" t="s">
        <v>141</v>
      </c>
      <c r="B245" s="62">
        <v>2</v>
      </c>
      <c r="C245" s="62">
        <v>1</v>
      </c>
      <c r="D245" s="62">
        <v>2</v>
      </c>
      <c r="E245" s="62">
        <v>0</v>
      </c>
      <c r="F245" s="62">
        <v>1</v>
      </c>
      <c r="G245" s="62">
        <v>0</v>
      </c>
      <c r="H245" s="62"/>
      <c r="I245" s="62"/>
      <c r="J245" s="62"/>
      <c r="K245" s="62"/>
      <c r="L245" s="58"/>
    </row>
    <row r="246" spans="1:12" x14ac:dyDescent="0.4">
      <c r="A246" s="57" t="s">
        <v>142</v>
      </c>
      <c r="B246" s="62">
        <v>0</v>
      </c>
      <c r="C246" s="62">
        <v>0</v>
      </c>
      <c r="D246" s="62">
        <v>0</v>
      </c>
      <c r="E246" s="62">
        <v>0</v>
      </c>
      <c r="F246" s="62">
        <v>0</v>
      </c>
      <c r="G246" s="62">
        <v>0</v>
      </c>
      <c r="H246" s="62"/>
      <c r="I246" s="62"/>
      <c r="J246" s="62"/>
      <c r="K246" s="62"/>
      <c r="L246" s="58"/>
    </row>
    <row r="247" spans="1:12" x14ac:dyDescent="0.4">
      <c r="A247" s="57" t="s">
        <v>143</v>
      </c>
      <c r="B247" s="62">
        <v>0</v>
      </c>
      <c r="C247" s="62">
        <v>0</v>
      </c>
      <c r="D247" s="62">
        <v>0</v>
      </c>
      <c r="E247" s="62">
        <v>0</v>
      </c>
      <c r="F247" s="62">
        <v>0</v>
      </c>
      <c r="G247" s="62">
        <v>0</v>
      </c>
      <c r="H247" s="62"/>
      <c r="I247" s="62"/>
      <c r="J247" s="62"/>
      <c r="K247" s="62"/>
      <c r="L247" s="58"/>
    </row>
    <row r="248" spans="1:12" x14ac:dyDescent="0.4">
      <c r="A248" s="57" t="s">
        <v>144</v>
      </c>
      <c r="B248" s="62">
        <v>0</v>
      </c>
      <c r="C248" s="62">
        <v>0</v>
      </c>
      <c r="D248" s="62">
        <v>0</v>
      </c>
      <c r="E248" s="62">
        <v>0</v>
      </c>
      <c r="F248" s="62">
        <v>0</v>
      </c>
      <c r="G248" s="62">
        <v>0</v>
      </c>
      <c r="H248" s="62"/>
      <c r="I248" s="62"/>
      <c r="J248" s="62"/>
      <c r="K248" s="62"/>
      <c r="L248" s="58"/>
    </row>
    <row r="249" spans="1:12" x14ac:dyDescent="0.4">
      <c r="A249" s="57"/>
      <c r="B249" s="62"/>
      <c r="C249" s="62"/>
      <c r="D249" s="62"/>
      <c r="E249" s="62"/>
      <c r="F249" s="62"/>
      <c r="G249" s="62"/>
      <c r="H249" s="62"/>
      <c r="I249" s="62"/>
      <c r="J249" s="62"/>
      <c r="K249" s="62"/>
      <c r="L249" s="58"/>
    </row>
    <row r="250" spans="1:12" x14ac:dyDescent="0.4">
      <c r="A250" s="59"/>
      <c r="B250" s="60"/>
      <c r="C250" s="60"/>
      <c r="D250" s="60"/>
      <c r="E250" s="60"/>
      <c r="F250" s="60"/>
      <c r="G250" s="60"/>
      <c r="H250" s="60"/>
      <c r="I250" s="60"/>
      <c r="J250" s="60"/>
      <c r="K250" s="60"/>
      <c r="L250" s="61"/>
    </row>
    <row r="251" spans="1:12" x14ac:dyDescent="0.4">
      <c r="A251" s="54">
        <v>0</v>
      </c>
      <c r="B251" s="55">
        <v>32</v>
      </c>
      <c r="C251" s="55">
        <v>20</v>
      </c>
      <c r="D251" s="55">
        <v>23</v>
      </c>
      <c r="E251" s="55">
        <v>4</v>
      </c>
      <c r="F251" s="55">
        <v>0</v>
      </c>
      <c r="G251" s="55">
        <v>192</v>
      </c>
      <c r="H251" s="55">
        <v>1</v>
      </c>
      <c r="I251" s="55">
        <v>100</v>
      </c>
      <c r="J251" s="55">
        <v>30</v>
      </c>
      <c r="K251" s="55">
        <v>70</v>
      </c>
      <c r="L251" s="56"/>
    </row>
    <row r="252" spans="1:12" x14ac:dyDescent="0.4">
      <c r="A252" s="57" t="s">
        <v>134</v>
      </c>
      <c r="B252" s="62">
        <v>1</v>
      </c>
      <c r="C252" s="62"/>
      <c r="D252" s="62"/>
      <c r="E252" s="62"/>
      <c r="F252" s="62"/>
      <c r="G252" s="62"/>
      <c r="H252" s="62"/>
      <c r="I252" s="62"/>
      <c r="J252" s="62">
        <v>1</v>
      </c>
      <c r="K252" s="62">
        <v>4</v>
      </c>
      <c r="L252" s="58">
        <v>0</v>
      </c>
    </row>
    <row r="253" spans="1:12" x14ac:dyDescent="0.4">
      <c r="A253" s="57" t="s">
        <v>141</v>
      </c>
      <c r="B253" s="62">
        <v>4</v>
      </c>
      <c r="C253" s="62">
        <v>1</v>
      </c>
      <c r="D253" s="62">
        <v>4</v>
      </c>
      <c r="E253" s="62">
        <v>0</v>
      </c>
      <c r="F253" s="62">
        <v>0</v>
      </c>
      <c r="G253" s="62">
        <v>1</v>
      </c>
      <c r="H253" s="62"/>
      <c r="I253" s="62"/>
      <c r="J253" s="62"/>
      <c r="K253" s="62"/>
      <c r="L253" s="58"/>
    </row>
    <row r="254" spans="1:12" x14ac:dyDescent="0.4">
      <c r="A254" s="57" t="s">
        <v>142</v>
      </c>
      <c r="B254" s="62">
        <v>0</v>
      </c>
      <c r="C254" s="62">
        <v>0</v>
      </c>
      <c r="D254" s="62">
        <v>0</v>
      </c>
      <c r="E254" s="62">
        <v>0</v>
      </c>
      <c r="F254" s="62">
        <v>0</v>
      </c>
      <c r="G254" s="62">
        <v>0</v>
      </c>
      <c r="H254" s="62"/>
      <c r="I254" s="62"/>
      <c r="J254" s="62"/>
      <c r="K254" s="62"/>
      <c r="L254" s="58"/>
    </row>
    <row r="255" spans="1:12" x14ac:dyDescent="0.4">
      <c r="A255" s="57" t="s">
        <v>143</v>
      </c>
      <c r="B255" s="62">
        <v>0</v>
      </c>
      <c r="C255" s="62">
        <v>0</v>
      </c>
      <c r="D255" s="62">
        <v>0</v>
      </c>
      <c r="E255" s="62">
        <v>0</v>
      </c>
      <c r="F255" s="62">
        <v>0</v>
      </c>
      <c r="G255" s="62">
        <v>0</v>
      </c>
      <c r="H255" s="62"/>
      <c r="I255" s="62"/>
      <c r="J255" s="62"/>
      <c r="K255" s="62"/>
      <c r="L255" s="58"/>
    </row>
    <row r="256" spans="1:12" x14ac:dyDescent="0.4">
      <c r="A256" s="57" t="s">
        <v>144</v>
      </c>
      <c r="B256" s="62">
        <v>0</v>
      </c>
      <c r="C256" s="62">
        <v>0</v>
      </c>
      <c r="D256" s="62">
        <v>0</v>
      </c>
      <c r="E256" s="62">
        <v>0</v>
      </c>
      <c r="F256" s="62">
        <v>0</v>
      </c>
      <c r="G256" s="62">
        <v>0</v>
      </c>
      <c r="H256" s="62"/>
      <c r="I256" s="62"/>
      <c r="J256" s="62"/>
      <c r="K256" s="62"/>
      <c r="L256" s="58"/>
    </row>
    <row r="257" spans="1:12" x14ac:dyDescent="0.4">
      <c r="A257" s="57"/>
      <c r="B257" s="62"/>
      <c r="C257" s="62"/>
      <c r="D257" s="62"/>
      <c r="E257" s="62"/>
      <c r="F257" s="62"/>
      <c r="G257" s="62"/>
      <c r="H257" s="62"/>
      <c r="I257" s="62"/>
      <c r="J257" s="62"/>
      <c r="K257" s="62"/>
      <c r="L257" s="58"/>
    </row>
    <row r="258" spans="1:12" x14ac:dyDescent="0.4">
      <c r="A258" s="59"/>
      <c r="B258" s="60"/>
      <c r="C258" s="60"/>
      <c r="D258" s="60"/>
      <c r="E258" s="60"/>
      <c r="F258" s="60"/>
      <c r="G258" s="60"/>
      <c r="H258" s="60"/>
      <c r="I258" s="60"/>
      <c r="J258" s="60"/>
      <c r="K258" s="60"/>
      <c r="L258" s="61"/>
    </row>
    <row r="259" spans="1:12" x14ac:dyDescent="0.4">
      <c r="A259" s="54">
        <v>0</v>
      </c>
      <c r="B259" s="55">
        <v>33</v>
      </c>
      <c r="C259" s="55">
        <v>21</v>
      </c>
      <c r="D259" s="55">
        <v>22</v>
      </c>
      <c r="E259" s="55">
        <v>3</v>
      </c>
      <c r="F259" s="55">
        <v>0</v>
      </c>
      <c r="G259" s="55">
        <v>222</v>
      </c>
      <c r="H259" s="55">
        <v>1</v>
      </c>
      <c r="I259" s="55">
        <v>100</v>
      </c>
      <c r="J259" s="55">
        <v>40</v>
      </c>
      <c r="K259" s="55">
        <v>60</v>
      </c>
      <c r="L259" s="56"/>
    </row>
    <row r="260" spans="1:12" x14ac:dyDescent="0.4">
      <c r="A260" s="57" t="s">
        <v>134</v>
      </c>
      <c r="B260" s="62">
        <v>1</v>
      </c>
      <c r="C260" s="62"/>
      <c r="D260" s="62"/>
      <c r="E260" s="62"/>
      <c r="F260" s="62"/>
      <c r="G260" s="62"/>
      <c r="H260" s="62"/>
      <c r="I260" s="62"/>
      <c r="J260" s="62">
        <v>1</v>
      </c>
      <c r="K260" s="62">
        <v>3</v>
      </c>
      <c r="L260" s="58">
        <v>0</v>
      </c>
    </row>
    <row r="261" spans="1:12" x14ac:dyDescent="0.4">
      <c r="A261" s="57" t="s">
        <v>141</v>
      </c>
      <c r="B261" s="62">
        <v>3</v>
      </c>
      <c r="C261" s="62">
        <v>1</v>
      </c>
      <c r="D261" s="62">
        <v>3</v>
      </c>
      <c r="E261" s="62">
        <v>0</v>
      </c>
      <c r="F261" s="62">
        <v>1</v>
      </c>
      <c r="G261" s="62">
        <v>0</v>
      </c>
      <c r="H261" s="62"/>
      <c r="I261" s="62"/>
      <c r="J261" s="62"/>
      <c r="K261" s="62"/>
      <c r="L261" s="58"/>
    </row>
    <row r="262" spans="1:12" x14ac:dyDescent="0.4">
      <c r="A262" s="57" t="s">
        <v>142</v>
      </c>
      <c r="B262" s="62">
        <v>0</v>
      </c>
      <c r="C262" s="62">
        <v>0</v>
      </c>
      <c r="D262" s="62">
        <v>0</v>
      </c>
      <c r="E262" s="62">
        <v>0</v>
      </c>
      <c r="F262" s="62">
        <v>0</v>
      </c>
      <c r="G262" s="62">
        <v>0</v>
      </c>
      <c r="H262" s="62"/>
      <c r="I262" s="62"/>
      <c r="J262" s="62"/>
      <c r="K262" s="62"/>
      <c r="L262" s="58"/>
    </row>
    <row r="263" spans="1:12" x14ac:dyDescent="0.4">
      <c r="A263" s="57" t="s">
        <v>143</v>
      </c>
      <c r="B263" s="62">
        <v>0</v>
      </c>
      <c r="C263" s="62">
        <v>0</v>
      </c>
      <c r="D263" s="62">
        <v>0</v>
      </c>
      <c r="E263" s="62">
        <v>0</v>
      </c>
      <c r="F263" s="62">
        <v>0</v>
      </c>
      <c r="G263" s="62">
        <v>0</v>
      </c>
      <c r="H263" s="62"/>
      <c r="I263" s="62"/>
      <c r="J263" s="62"/>
      <c r="K263" s="62"/>
      <c r="L263" s="58"/>
    </row>
    <row r="264" spans="1:12" x14ac:dyDescent="0.4">
      <c r="A264" s="57" t="s">
        <v>144</v>
      </c>
      <c r="B264" s="62">
        <v>0</v>
      </c>
      <c r="C264" s="62">
        <v>0</v>
      </c>
      <c r="D264" s="62">
        <v>0</v>
      </c>
      <c r="E264" s="62">
        <v>0</v>
      </c>
      <c r="F264" s="62">
        <v>0</v>
      </c>
      <c r="G264" s="62">
        <v>0</v>
      </c>
      <c r="H264" s="62"/>
      <c r="I264" s="62"/>
      <c r="J264" s="62"/>
      <c r="K264" s="62"/>
      <c r="L264" s="58"/>
    </row>
    <row r="265" spans="1:12" x14ac:dyDescent="0.4">
      <c r="A265" s="57"/>
      <c r="B265" s="62"/>
      <c r="C265" s="62"/>
      <c r="D265" s="62"/>
      <c r="E265" s="62"/>
      <c r="F265" s="62"/>
      <c r="G265" s="62"/>
      <c r="H265" s="62"/>
      <c r="I265" s="62"/>
      <c r="J265" s="62"/>
      <c r="K265" s="62"/>
      <c r="L265" s="58"/>
    </row>
    <row r="266" spans="1:12" x14ac:dyDescent="0.4">
      <c r="A266" s="59"/>
      <c r="B266" s="60"/>
      <c r="C266" s="60"/>
      <c r="D266" s="60"/>
      <c r="E266" s="60"/>
      <c r="F266" s="60"/>
      <c r="G266" s="60"/>
      <c r="H266" s="60"/>
      <c r="I266" s="60"/>
      <c r="J266" s="60"/>
      <c r="K266" s="60"/>
      <c r="L266" s="61"/>
    </row>
    <row r="267" spans="1:12" x14ac:dyDescent="0.4">
      <c r="A267" s="54">
        <v>0</v>
      </c>
      <c r="B267" s="55">
        <v>34</v>
      </c>
      <c r="C267" s="55">
        <v>21</v>
      </c>
      <c r="D267" s="55">
        <v>23</v>
      </c>
      <c r="E267" s="55">
        <v>4</v>
      </c>
      <c r="F267" s="55">
        <v>0</v>
      </c>
      <c r="G267" s="55">
        <v>296</v>
      </c>
      <c r="H267" s="55">
        <v>0</v>
      </c>
      <c r="I267" s="55">
        <v>100</v>
      </c>
      <c r="J267" s="55">
        <v>30</v>
      </c>
      <c r="K267" s="55">
        <v>70</v>
      </c>
      <c r="L267" s="56"/>
    </row>
    <row r="268" spans="1:12" x14ac:dyDescent="0.4">
      <c r="A268" s="57" t="s">
        <v>134</v>
      </c>
      <c r="B268" s="62">
        <v>1</v>
      </c>
      <c r="C268" s="62"/>
      <c r="D268" s="62"/>
      <c r="E268" s="62"/>
      <c r="F268" s="62"/>
      <c r="G268" s="62"/>
      <c r="H268" s="62"/>
      <c r="I268" s="62"/>
      <c r="J268" s="62">
        <v>1</v>
      </c>
      <c r="K268" s="62">
        <v>4</v>
      </c>
      <c r="L268" s="58">
        <v>0</v>
      </c>
    </row>
    <row r="269" spans="1:12" x14ac:dyDescent="0.4">
      <c r="A269" s="57" t="s">
        <v>141</v>
      </c>
      <c r="B269" s="62">
        <v>4</v>
      </c>
      <c r="C269" s="62">
        <v>1</v>
      </c>
      <c r="D269" s="62">
        <v>4</v>
      </c>
      <c r="E269" s="62">
        <v>0</v>
      </c>
      <c r="F269" s="62">
        <v>1</v>
      </c>
      <c r="G269" s="62">
        <v>0</v>
      </c>
      <c r="H269" s="62"/>
      <c r="I269" s="62"/>
      <c r="J269" s="62"/>
      <c r="K269" s="62"/>
      <c r="L269" s="58"/>
    </row>
    <row r="270" spans="1:12" x14ac:dyDescent="0.4">
      <c r="A270" s="57" t="s">
        <v>142</v>
      </c>
      <c r="B270" s="62">
        <v>0</v>
      </c>
      <c r="C270" s="62">
        <v>0</v>
      </c>
      <c r="D270" s="62">
        <v>0</v>
      </c>
      <c r="E270" s="62">
        <v>0</v>
      </c>
      <c r="F270" s="62">
        <v>0</v>
      </c>
      <c r="G270" s="62">
        <v>0</v>
      </c>
      <c r="H270" s="62"/>
      <c r="I270" s="62"/>
      <c r="J270" s="62"/>
      <c r="K270" s="62"/>
      <c r="L270" s="58"/>
    </row>
    <row r="271" spans="1:12" x14ac:dyDescent="0.4">
      <c r="A271" s="57" t="s">
        <v>143</v>
      </c>
      <c r="B271" s="62">
        <v>0</v>
      </c>
      <c r="C271" s="62">
        <v>0</v>
      </c>
      <c r="D271" s="62">
        <v>0</v>
      </c>
      <c r="E271" s="62">
        <v>0</v>
      </c>
      <c r="F271" s="62">
        <v>0</v>
      </c>
      <c r="G271" s="62">
        <v>0</v>
      </c>
      <c r="H271" s="62"/>
      <c r="I271" s="62"/>
      <c r="J271" s="62"/>
      <c r="K271" s="62"/>
      <c r="L271" s="58"/>
    </row>
    <row r="272" spans="1:12" x14ac:dyDescent="0.4">
      <c r="A272" s="57" t="s">
        <v>144</v>
      </c>
      <c r="B272" s="62">
        <v>0</v>
      </c>
      <c r="C272" s="62">
        <v>0</v>
      </c>
      <c r="D272" s="62">
        <v>0</v>
      </c>
      <c r="E272" s="62">
        <v>0</v>
      </c>
      <c r="F272" s="62">
        <v>0</v>
      </c>
      <c r="G272" s="62">
        <v>0</v>
      </c>
      <c r="H272" s="62"/>
      <c r="I272" s="62"/>
      <c r="J272" s="62"/>
      <c r="K272" s="62"/>
      <c r="L272" s="58"/>
    </row>
    <row r="273" spans="1:12" x14ac:dyDescent="0.4">
      <c r="A273" s="57"/>
      <c r="B273" s="62"/>
      <c r="C273" s="62"/>
      <c r="D273" s="62"/>
      <c r="E273" s="62"/>
      <c r="F273" s="62"/>
      <c r="G273" s="62"/>
      <c r="H273" s="62"/>
      <c r="I273" s="62"/>
      <c r="J273" s="62"/>
      <c r="K273" s="62"/>
      <c r="L273" s="58"/>
    </row>
    <row r="274" spans="1:12" x14ac:dyDescent="0.4">
      <c r="A274" s="59"/>
      <c r="B274" s="60"/>
      <c r="C274" s="60"/>
      <c r="D274" s="60"/>
      <c r="E274" s="60"/>
      <c r="F274" s="60"/>
      <c r="G274" s="60"/>
      <c r="H274" s="60"/>
      <c r="I274" s="60"/>
      <c r="J274" s="60"/>
      <c r="K274" s="60"/>
      <c r="L274" s="61"/>
    </row>
    <row r="275" spans="1:12" x14ac:dyDescent="0.4">
      <c r="A275" s="54">
        <v>0</v>
      </c>
      <c r="B275" s="55">
        <v>35</v>
      </c>
      <c r="C275" s="55">
        <v>21</v>
      </c>
      <c r="D275" s="55">
        <v>21</v>
      </c>
      <c r="E275" s="55">
        <v>4</v>
      </c>
      <c r="F275" s="55">
        <v>0</v>
      </c>
      <c r="G275" s="55">
        <v>384</v>
      </c>
      <c r="H275" s="55">
        <v>1</v>
      </c>
      <c r="I275" s="55">
        <v>100</v>
      </c>
      <c r="J275" s="55">
        <v>40</v>
      </c>
      <c r="K275" s="55">
        <v>60</v>
      </c>
      <c r="L275" s="56"/>
    </row>
    <row r="276" spans="1:12" x14ac:dyDescent="0.4">
      <c r="A276" s="57" t="s">
        <v>134</v>
      </c>
      <c r="B276" s="62">
        <v>1</v>
      </c>
      <c r="C276" s="62"/>
      <c r="D276" s="62"/>
      <c r="E276" s="62"/>
      <c r="F276" s="62"/>
      <c r="G276" s="62"/>
      <c r="H276" s="62"/>
      <c r="I276" s="62"/>
      <c r="J276" s="62">
        <v>1</v>
      </c>
      <c r="K276" s="62">
        <v>4</v>
      </c>
      <c r="L276" s="58">
        <v>0</v>
      </c>
    </row>
    <row r="277" spans="1:12" x14ac:dyDescent="0.4">
      <c r="A277" s="57" t="s">
        <v>141</v>
      </c>
      <c r="B277" s="62">
        <v>4</v>
      </c>
      <c r="C277" s="62">
        <v>1</v>
      </c>
      <c r="D277" s="62">
        <v>4</v>
      </c>
      <c r="E277" s="62">
        <v>1</v>
      </c>
      <c r="F277" s="62">
        <v>0</v>
      </c>
      <c r="G277" s="62">
        <v>0</v>
      </c>
      <c r="H277" s="62"/>
      <c r="I277" s="62"/>
      <c r="J277" s="62"/>
      <c r="K277" s="62"/>
      <c r="L277" s="58"/>
    </row>
    <row r="278" spans="1:12" x14ac:dyDescent="0.4">
      <c r="A278" s="57" t="s">
        <v>142</v>
      </c>
      <c r="B278" s="62">
        <v>0</v>
      </c>
      <c r="C278" s="62">
        <v>0</v>
      </c>
      <c r="D278" s="62">
        <v>0</v>
      </c>
      <c r="E278" s="62">
        <v>0</v>
      </c>
      <c r="F278" s="62">
        <v>0</v>
      </c>
      <c r="G278" s="62">
        <v>0</v>
      </c>
      <c r="H278" s="62"/>
      <c r="I278" s="62"/>
      <c r="J278" s="62"/>
      <c r="K278" s="62"/>
      <c r="L278" s="58"/>
    </row>
    <row r="279" spans="1:12" x14ac:dyDescent="0.4">
      <c r="A279" s="57" t="s">
        <v>143</v>
      </c>
      <c r="B279" s="62">
        <v>0</v>
      </c>
      <c r="C279" s="62">
        <v>0</v>
      </c>
      <c r="D279" s="62">
        <v>0</v>
      </c>
      <c r="E279" s="62">
        <v>0</v>
      </c>
      <c r="F279" s="62">
        <v>0</v>
      </c>
      <c r="G279" s="62">
        <v>0</v>
      </c>
      <c r="H279" s="62"/>
      <c r="I279" s="62"/>
      <c r="J279" s="62"/>
      <c r="K279" s="62"/>
      <c r="L279" s="58"/>
    </row>
    <row r="280" spans="1:12" x14ac:dyDescent="0.4">
      <c r="A280" s="57" t="s">
        <v>144</v>
      </c>
      <c r="B280" s="62">
        <v>0</v>
      </c>
      <c r="C280" s="62">
        <v>0</v>
      </c>
      <c r="D280" s="62">
        <v>0</v>
      </c>
      <c r="E280" s="62">
        <v>0</v>
      </c>
      <c r="F280" s="62">
        <v>0</v>
      </c>
      <c r="G280" s="62">
        <v>0</v>
      </c>
      <c r="H280" s="62"/>
      <c r="I280" s="62"/>
      <c r="J280" s="62"/>
      <c r="K280" s="62"/>
      <c r="L280" s="58"/>
    </row>
    <row r="281" spans="1:12" x14ac:dyDescent="0.4">
      <c r="A281" s="57"/>
      <c r="B281" s="62"/>
      <c r="C281" s="62"/>
      <c r="D281" s="62"/>
      <c r="E281" s="62"/>
      <c r="F281" s="62"/>
      <c r="G281" s="62"/>
      <c r="H281" s="62"/>
      <c r="I281" s="62"/>
      <c r="J281" s="62"/>
      <c r="K281" s="62"/>
      <c r="L281" s="58"/>
    </row>
    <row r="282" spans="1:12" x14ac:dyDescent="0.4">
      <c r="A282" s="59"/>
      <c r="B282" s="60"/>
      <c r="C282" s="60"/>
      <c r="D282" s="60"/>
      <c r="E282" s="60"/>
      <c r="F282" s="60"/>
      <c r="G282" s="60"/>
      <c r="H282" s="60"/>
      <c r="I282" s="60"/>
      <c r="J282" s="60"/>
      <c r="K282" s="60"/>
      <c r="L282" s="61"/>
    </row>
    <row r="283" spans="1:12" x14ac:dyDescent="0.4">
      <c r="A283" s="54">
        <v>0</v>
      </c>
      <c r="B283" s="55">
        <v>36</v>
      </c>
      <c r="C283" s="55">
        <v>22</v>
      </c>
      <c r="D283" s="55">
        <v>24</v>
      </c>
      <c r="E283" s="55">
        <v>4</v>
      </c>
      <c r="F283" s="55">
        <v>0</v>
      </c>
      <c r="G283" s="55">
        <v>384</v>
      </c>
      <c r="H283" s="55">
        <v>1</v>
      </c>
      <c r="I283" s="55">
        <v>100</v>
      </c>
      <c r="J283" s="55">
        <v>50</v>
      </c>
      <c r="K283" s="55">
        <v>50</v>
      </c>
      <c r="L283" s="56"/>
    </row>
    <row r="284" spans="1:12" x14ac:dyDescent="0.4">
      <c r="A284" s="57" t="s">
        <v>134</v>
      </c>
      <c r="B284" s="62">
        <v>1</v>
      </c>
      <c r="C284" s="62"/>
      <c r="D284" s="62"/>
      <c r="E284" s="62"/>
      <c r="F284" s="62"/>
      <c r="G284" s="62"/>
      <c r="H284" s="62"/>
      <c r="I284" s="62"/>
      <c r="J284" s="62">
        <v>1</v>
      </c>
      <c r="K284" s="62">
        <v>4</v>
      </c>
      <c r="L284" s="58">
        <v>0</v>
      </c>
    </row>
    <row r="285" spans="1:12" x14ac:dyDescent="0.4">
      <c r="A285" s="57" t="s">
        <v>141</v>
      </c>
      <c r="B285" s="62">
        <v>4</v>
      </c>
      <c r="C285" s="62">
        <v>1</v>
      </c>
      <c r="D285" s="62">
        <v>4</v>
      </c>
      <c r="E285" s="62">
        <v>1</v>
      </c>
      <c r="F285" s="62">
        <v>0</v>
      </c>
      <c r="G285" s="62">
        <v>0</v>
      </c>
      <c r="H285" s="62"/>
      <c r="I285" s="62"/>
      <c r="J285" s="62"/>
      <c r="K285" s="62"/>
      <c r="L285" s="58"/>
    </row>
    <row r="286" spans="1:12" x14ac:dyDescent="0.4">
      <c r="A286" s="57" t="s">
        <v>142</v>
      </c>
      <c r="B286" s="62">
        <v>0</v>
      </c>
      <c r="C286" s="62">
        <v>0</v>
      </c>
      <c r="D286" s="62">
        <v>0</v>
      </c>
      <c r="E286" s="62">
        <v>0</v>
      </c>
      <c r="F286" s="62">
        <v>0</v>
      </c>
      <c r="G286" s="62">
        <v>0</v>
      </c>
      <c r="H286" s="62"/>
      <c r="I286" s="62"/>
      <c r="J286" s="62"/>
      <c r="K286" s="62"/>
      <c r="L286" s="58"/>
    </row>
    <row r="287" spans="1:12" x14ac:dyDescent="0.4">
      <c r="A287" s="57" t="s">
        <v>143</v>
      </c>
      <c r="B287" s="62">
        <v>0</v>
      </c>
      <c r="C287" s="62">
        <v>0</v>
      </c>
      <c r="D287" s="62">
        <v>0</v>
      </c>
      <c r="E287" s="62">
        <v>0</v>
      </c>
      <c r="F287" s="62">
        <v>0</v>
      </c>
      <c r="G287" s="62">
        <v>0</v>
      </c>
      <c r="H287" s="62"/>
      <c r="I287" s="62"/>
      <c r="J287" s="62"/>
      <c r="K287" s="62"/>
      <c r="L287" s="58"/>
    </row>
    <row r="288" spans="1:12" x14ac:dyDescent="0.4">
      <c r="A288" s="57" t="s">
        <v>144</v>
      </c>
      <c r="B288" s="62">
        <v>0</v>
      </c>
      <c r="C288" s="62">
        <v>0</v>
      </c>
      <c r="D288" s="62">
        <v>0</v>
      </c>
      <c r="E288" s="62">
        <v>0</v>
      </c>
      <c r="F288" s="62">
        <v>0</v>
      </c>
      <c r="G288" s="62">
        <v>0</v>
      </c>
      <c r="H288" s="62"/>
      <c r="I288" s="62"/>
      <c r="J288" s="62"/>
      <c r="K288" s="62"/>
      <c r="L288" s="58"/>
    </row>
    <row r="289" spans="1:12" x14ac:dyDescent="0.4">
      <c r="A289" s="57"/>
      <c r="B289" s="62"/>
      <c r="C289" s="62"/>
      <c r="D289" s="62"/>
      <c r="E289" s="62"/>
      <c r="F289" s="62"/>
      <c r="G289" s="62"/>
      <c r="H289" s="62"/>
      <c r="I289" s="62"/>
      <c r="J289" s="62"/>
      <c r="K289" s="62"/>
      <c r="L289" s="58"/>
    </row>
    <row r="290" spans="1:12" x14ac:dyDescent="0.4">
      <c r="A290" s="59"/>
      <c r="B290" s="60"/>
      <c r="C290" s="60"/>
      <c r="D290" s="60"/>
      <c r="E290" s="60"/>
      <c r="F290" s="60"/>
      <c r="G290" s="60"/>
      <c r="H290" s="60"/>
      <c r="I290" s="60"/>
      <c r="J290" s="60"/>
      <c r="K290" s="60"/>
      <c r="L290" s="61"/>
    </row>
    <row r="291" spans="1:12" x14ac:dyDescent="0.4">
      <c r="A291" s="54">
        <v>0</v>
      </c>
      <c r="B291" s="55">
        <v>37</v>
      </c>
      <c r="C291" s="55">
        <v>22</v>
      </c>
      <c r="D291" s="55">
        <v>22</v>
      </c>
      <c r="E291" s="55">
        <v>16</v>
      </c>
      <c r="F291" s="55">
        <v>0</v>
      </c>
      <c r="G291" s="55">
        <v>1474</v>
      </c>
      <c r="H291" s="55">
        <v>1</v>
      </c>
      <c r="I291" s="55">
        <v>100</v>
      </c>
      <c r="J291" s="55">
        <v>30</v>
      </c>
      <c r="K291" s="55">
        <v>40</v>
      </c>
      <c r="L291" s="56">
        <v>30</v>
      </c>
    </row>
    <row r="292" spans="1:12" x14ac:dyDescent="0.4">
      <c r="A292" s="57" t="s">
        <v>134</v>
      </c>
      <c r="B292" s="62">
        <v>4</v>
      </c>
      <c r="C292" s="62"/>
      <c r="D292" s="62"/>
      <c r="E292" s="62"/>
      <c r="F292" s="62"/>
      <c r="G292" s="62"/>
      <c r="H292" s="62"/>
      <c r="I292" s="62"/>
      <c r="J292" s="62">
        <v>1</v>
      </c>
      <c r="K292" s="62">
        <v>8</v>
      </c>
      <c r="L292" s="58">
        <v>16</v>
      </c>
    </row>
    <row r="293" spans="1:12" x14ac:dyDescent="0.4">
      <c r="A293" s="57" t="s">
        <v>141</v>
      </c>
      <c r="B293" s="62">
        <v>5</v>
      </c>
      <c r="C293" s="62">
        <v>1</v>
      </c>
      <c r="D293" s="62">
        <v>5</v>
      </c>
      <c r="E293" s="62">
        <v>0</v>
      </c>
      <c r="F293" s="62">
        <v>1</v>
      </c>
      <c r="G293" s="62">
        <v>0</v>
      </c>
      <c r="H293" s="62"/>
      <c r="I293" s="62"/>
      <c r="J293" s="62"/>
      <c r="K293" s="62"/>
      <c r="L293" s="58"/>
    </row>
    <row r="294" spans="1:12" x14ac:dyDescent="0.4">
      <c r="A294" s="57" t="s">
        <v>142</v>
      </c>
      <c r="B294" s="62">
        <v>11</v>
      </c>
      <c r="C294" s="62">
        <v>6</v>
      </c>
      <c r="D294" s="62">
        <v>16</v>
      </c>
      <c r="E294" s="62">
        <v>0</v>
      </c>
      <c r="F294" s="62">
        <v>0</v>
      </c>
      <c r="G294" s="62">
        <v>1</v>
      </c>
      <c r="H294" s="62"/>
      <c r="I294" s="62"/>
      <c r="J294" s="62"/>
      <c r="K294" s="62"/>
      <c r="L294" s="58"/>
    </row>
    <row r="295" spans="1:12" x14ac:dyDescent="0.4">
      <c r="A295" s="57" t="s">
        <v>143</v>
      </c>
      <c r="B295" s="62">
        <v>4</v>
      </c>
      <c r="C295" s="62">
        <v>12</v>
      </c>
      <c r="D295" s="62">
        <v>16</v>
      </c>
      <c r="E295" s="62">
        <v>0</v>
      </c>
      <c r="F295" s="62">
        <v>0</v>
      </c>
      <c r="G295" s="62">
        <v>1</v>
      </c>
      <c r="H295" s="62"/>
      <c r="I295" s="62"/>
      <c r="J295" s="62"/>
      <c r="K295" s="62"/>
      <c r="L295" s="58"/>
    </row>
    <row r="296" spans="1:12" x14ac:dyDescent="0.4">
      <c r="A296" s="57" t="s">
        <v>144</v>
      </c>
      <c r="B296" s="62">
        <v>4</v>
      </c>
      <c r="C296" s="62">
        <v>7</v>
      </c>
      <c r="D296" s="62">
        <v>11</v>
      </c>
      <c r="E296" s="62">
        <v>1</v>
      </c>
      <c r="F296" s="62">
        <v>0</v>
      </c>
      <c r="G296" s="62">
        <v>0</v>
      </c>
      <c r="H296" s="62"/>
      <c r="I296" s="62"/>
      <c r="J296" s="62"/>
      <c r="K296" s="62"/>
      <c r="L296" s="58"/>
    </row>
    <row r="297" spans="1:12" x14ac:dyDescent="0.4">
      <c r="A297" s="57"/>
      <c r="B297" s="62"/>
      <c r="C297" s="62"/>
      <c r="D297" s="62"/>
      <c r="E297" s="62"/>
      <c r="F297" s="62"/>
      <c r="G297" s="62"/>
      <c r="H297" s="62"/>
      <c r="I297" s="62"/>
      <c r="J297" s="62"/>
      <c r="K297" s="62"/>
      <c r="L297" s="58"/>
    </row>
    <row r="298" spans="1:12" x14ac:dyDescent="0.4">
      <c r="A298" s="59"/>
      <c r="B298" s="60"/>
      <c r="C298" s="60"/>
      <c r="D298" s="60"/>
      <c r="E298" s="60"/>
      <c r="F298" s="60"/>
      <c r="G298" s="60"/>
      <c r="H298" s="60"/>
      <c r="I298" s="60"/>
      <c r="J298" s="60"/>
      <c r="K298" s="60"/>
      <c r="L298" s="61"/>
    </row>
    <row r="299" spans="1:12" x14ac:dyDescent="0.4">
      <c r="A299" s="54">
        <v>0</v>
      </c>
      <c r="B299" s="55">
        <v>38</v>
      </c>
      <c r="C299" s="55">
        <v>22</v>
      </c>
      <c r="D299" s="55">
        <v>22</v>
      </c>
      <c r="E299" s="55">
        <v>4</v>
      </c>
      <c r="F299" s="55">
        <v>0</v>
      </c>
      <c r="G299" s="55">
        <v>192</v>
      </c>
      <c r="H299" s="55">
        <v>1</v>
      </c>
      <c r="I299" s="55">
        <v>100</v>
      </c>
      <c r="J299" s="55">
        <v>50</v>
      </c>
      <c r="K299" s="55">
        <v>50</v>
      </c>
      <c r="L299" s="56"/>
    </row>
    <row r="300" spans="1:12" x14ac:dyDescent="0.4">
      <c r="A300" s="57" t="s">
        <v>134</v>
      </c>
      <c r="B300" s="62">
        <v>1</v>
      </c>
      <c r="C300" s="62"/>
      <c r="D300" s="62"/>
      <c r="E300" s="62"/>
      <c r="F300" s="62"/>
      <c r="G300" s="62"/>
      <c r="H300" s="62"/>
      <c r="I300" s="62"/>
      <c r="J300" s="62">
        <v>1</v>
      </c>
      <c r="K300" s="62">
        <v>4</v>
      </c>
      <c r="L300" s="58">
        <v>0</v>
      </c>
    </row>
    <row r="301" spans="1:12" x14ac:dyDescent="0.4">
      <c r="A301" s="57" t="s">
        <v>141</v>
      </c>
      <c r="B301" s="62">
        <v>4</v>
      </c>
      <c r="C301" s="62">
        <v>1</v>
      </c>
      <c r="D301" s="62">
        <v>4</v>
      </c>
      <c r="E301" s="62">
        <v>0</v>
      </c>
      <c r="F301" s="62">
        <v>0</v>
      </c>
      <c r="G301" s="62">
        <v>1</v>
      </c>
      <c r="H301" s="62"/>
      <c r="I301" s="62"/>
      <c r="J301" s="62"/>
      <c r="K301" s="62"/>
      <c r="L301" s="58"/>
    </row>
    <row r="302" spans="1:12" x14ac:dyDescent="0.4">
      <c r="A302" s="57" t="s">
        <v>142</v>
      </c>
      <c r="B302" s="62">
        <v>0</v>
      </c>
      <c r="C302" s="62">
        <v>0</v>
      </c>
      <c r="D302" s="62">
        <v>0</v>
      </c>
      <c r="E302" s="62">
        <v>0</v>
      </c>
      <c r="F302" s="62">
        <v>0</v>
      </c>
      <c r="G302" s="62">
        <v>0</v>
      </c>
      <c r="H302" s="62"/>
      <c r="I302" s="62"/>
      <c r="J302" s="62"/>
      <c r="K302" s="62"/>
      <c r="L302" s="58"/>
    </row>
    <row r="303" spans="1:12" x14ac:dyDescent="0.4">
      <c r="A303" s="57" t="s">
        <v>143</v>
      </c>
      <c r="B303" s="62">
        <v>0</v>
      </c>
      <c r="C303" s="62">
        <v>0</v>
      </c>
      <c r="D303" s="62">
        <v>0</v>
      </c>
      <c r="E303" s="62">
        <v>0</v>
      </c>
      <c r="F303" s="62">
        <v>0</v>
      </c>
      <c r="G303" s="62">
        <v>0</v>
      </c>
      <c r="H303" s="62"/>
      <c r="I303" s="62"/>
      <c r="J303" s="62"/>
      <c r="K303" s="62"/>
      <c r="L303" s="58"/>
    </row>
    <row r="304" spans="1:12" x14ac:dyDescent="0.4">
      <c r="A304" s="57" t="s">
        <v>144</v>
      </c>
      <c r="B304" s="62">
        <v>0</v>
      </c>
      <c r="C304" s="62">
        <v>0</v>
      </c>
      <c r="D304" s="62">
        <v>0</v>
      </c>
      <c r="E304" s="62">
        <v>0</v>
      </c>
      <c r="F304" s="62">
        <v>0</v>
      </c>
      <c r="G304" s="62">
        <v>0</v>
      </c>
      <c r="H304" s="62"/>
      <c r="I304" s="62"/>
      <c r="J304" s="62"/>
      <c r="K304" s="62"/>
      <c r="L304" s="58"/>
    </row>
    <row r="305" spans="1:12" x14ac:dyDescent="0.4">
      <c r="A305" s="57"/>
      <c r="B305" s="62"/>
      <c r="C305" s="62"/>
      <c r="D305" s="62"/>
      <c r="E305" s="62"/>
      <c r="F305" s="62"/>
      <c r="G305" s="62"/>
      <c r="H305" s="62"/>
      <c r="I305" s="62"/>
      <c r="J305" s="62"/>
      <c r="K305" s="62"/>
      <c r="L305" s="58"/>
    </row>
    <row r="306" spans="1:12" x14ac:dyDescent="0.4">
      <c r="A306" s="59"/>
      <c r="B306" s="60"/>
      <c r="C306" s="60"/>
      <c r="D306" s="60"/>
      <c r="E306" s="60"/>
      <c r="F306" s="60"/>
      <c r="G306" s="60"/>
      <c r="H306" s="60"/>
      <c r="I306" s="60"/>
      <c r="J306" s="60"/>
      <c r="K306" s="60"/>
      <c r="L306" s="61"/>
    </row>
    <row r="307" spans="1:12" x14ac:dyDescent="0.4">
      <c r="A307" s="54">
        <v>0</v>
      </c>
      <c r="B307" s="55">
        <v>39</v>
      </c>
      <c r="C307" s="55">
        <v>23</v>
      </c>
      <c r="D307" s="55">
        <v>23</v>
      </c>
      <c r="E307" s="55">
        <v>11</v>
      </c>
      <c r="F307" s="55">
        <v>0</v>
      </c>
      <c r="G307" s="55">
        <v>606</v>
      </c>
      <c r="H307" s="55">
        <v>1</v>
      </c>
      <c r="I307" s="55">
        <v>100</v>
      </c>
      <c r="J307" s="55">
        <v>30</v>
      </c>
      <c r="K307" s="55">
        <v>40</v>
      </c>
      <c r="L307" s="56">
        <v>30</v>
      </c>
    </row>
    <row r="308" spans="1:12" x14ac:dyDescent="0.4">
      <c r="A308" s="57" t="s">
        <v>134</v>
      </c>
      <c r="B308" s="62">
        <v>2</v>
      </c>
      <c r="C308" s="62"/>
      <c r="D308" s="62"/>
      <c r="E308" s="62"/>
      <c r="F308" s="62"/>
      <c r="G308" s="62"/>
      <c r="H308" s="62"/>
      <c r="I308" s="62"/>
      <c r="J308" s="62">
        <v>1</v>
      </c>
      <c r="K308" s="62">
        <v>6</v>
      </c>
      <c r="L308" s="58">
        <v>11</v>
      </c>
    </row>
    <row r="309" spans="1:12" x14ac:dyDescent="0.4">
      <c r="A309" s="57" t="s">
        <v>141</v>
      </c>
      <c r="B309" s="62">
        <v>3</v>
      </c>
      <c r="C309" s="62">
        <v>1</v>
      </c>
      <c r="D309" s="62">
        <v>3</v>
      </c>
      <c r="E309" s="62">
        <v>0</v>
      </c>
      <c r="F309" s="62">
        <v>1</v>
      </c>
      <c r="G309" s="62">
        <v>0</v>
      </c>
      <c r="H309" s="62"/>
      <c r="I309" s="62"/>
      <c r="J309" s="62"/>
      <c r="K309" s="62"/>
      <c r="L309" s="58"/>
    </row>
    <row r="310" spans="1:12" x14ac:dyDescent="0.4">
      <c r="A310" s="57" t="s">
        <v>142</v>
      </c>
      <c r="B310" s="62">
        <v>8</v>
      </c>
      <c r="C310" s="62">
        <v>4</v>
      </c>
      <c r="D310" s="62">
        <v>11</v>
      </c>
      <c r="E310" s="62">
        <v>0</v>
      </c>
      <c r="F310" s="62">
        <v>0</v>
      </c>
      <c r="G310" s="62">
        <v>1</v>
      </c>
      <c r="H310" s="62"/>
      <c r="I310" s="62"/>
      <c r="J310" s="62"/>
      <c r="K310" s="62"/>
      <c r="L310" s="58"/>
    </row>
    <row r="311" spans="1:12" x14ac:dyDescent="0.4">
      <c r="A311" s="57" t="s">
        <v>143</v>
      </c>
      <c r="B311" s="62">
        <v>0</v>
      </c>
      <c r="C311" s="62">
        <v>0</v>
      </c>
      <c r="D311" s="62">
        <v>0</v>
      </c>
      <c r="E311" s="62">
        <v>0</v>
      </c>
      <c r="F311" s="62">
        <v>0</v>
      </c>
      <c r="G311" s="62">
        <v>0</v>
      </c>
      <c r="H311" s="62"/>
      <c r="I311" s="62"/>
      <c r="J311" s="62"/>
      <c r="K311" s="62"/>
      <c r="L311" s="58"/>
    </row>
    <row r="312" spans="1:12" x14ac:dyDescent="0.4">
      <c r="A312" s="57" t="s">
        <v>144</v>
      </c>
      <c r="B312" s="62">
        <v>0</v>
      </c>
      <c r="C312" s="62">
        <v>0</v>
      </c>
      <c r="D312" s="62">
        <v>0</v>
      </c>
      <c r="E312" s="62">
        <v>0</v>
      </c>
      <c r="F312" s="62">
        <v>0</v>
      </c>
      <c r="G312" s="62">
        <v>0</v>
      </c>
      <c r="H312" s="62"/>
      <c r="I312" s="62"/>
      <c r="J312" s="62"/>
      <c r="K312" s="62"/>
      <c r="L312" s="58"/>
    </row>
    <row r="313" spans="1:12" x14ac:dyDescent="0.4">
      <c r="A313" s="57"/>
      <c r="B313" s="62"/>
      <c r="C313" s="62"/>
      <c r="D313" s="62"/>
      <c r="E313" s="62"/>
      <c r="F313" s="62"/>
      <c r="G313" s="62"/>
      <c r="H313" s="62"/>
      <c r="I313" s="62"/>
      <c r="J313" s="62"/>
      <c r="K313" s="62"/>
      <c r="L313" s="58"/>
    </row>
    <row r="314" spans="1:12" x14ac:dyDescent="0.4">
      <c r="A314" s="59"/>
      <c r="B314" s="60"/>
      <c r="C314" s="60"/>
      <c r="D314" s="60"/>
      <c r="E314" s="60"/>
      <c r="F314" s="60"/>
      <c r="G314" s="60"/>
      <c r="H314" s="60"/>
      <c r="I314" s="60"/>
      <c r="J314" s="60"/>
      <c r="K314" s="60"/>
      <c r="L314" s="61"/>
    </row>
    <row r="315" spans="1:12" x14ac:dyDescent="0.4">
      <c r="A315" s="54">
        <v>0</v>
      </c>
      <c r="B315" s="55">
        <v>40</v>
      </c>
      <c r="C315" s="55">
        <v>23</v>
      </c>
      <c r="D315" s="55">
        <v>25</v>
      </c>
      <c r="E315" s="55">
        <v>8</v>
      </c>
      <c r="F315" s="55">
        <v>0</v>
      </c>
      <c r="G315" s="55">
        <v>540</v>
      </c>
      <c r="H315" s="55">
        <v>1</v>
      </c>
      <c r="I315" s="55">
        <v>100</v>
      </c>
      <c r="J315" s="55">
        <v>30</v>
      </c>
      <c r="K315" s="55">
        <v>40</v>
      </c>
      <c r="L315" s="56">
        <v>30</v>
      </c>
    </row>
    <row r="316" spans="1:12" x14ac:dyDescent="0.4">
      <c r="A316" s="57" t="s">
        <v>134</v>
      </c>
      <c r="B316" s="62">
        <v>2</v>
      </c>
      <c r="C316" s="62"/>
      <c r="D316" s="62"/>
      <c r="E316" s="62"/>
      <c r="F316" s="62"/>
      <c r="G316" s="62"/>
      <c r="H316" s="62"/>
      <c r="I316" s="62"/>
      <c r="J316" s="62">
        <v>1</v>
      </c>
      <c r="K316" s="62">
        <v>4</v>
      </c>
      <c r="L316" s="58">
        <v>8</v>
      </c>
    </row>
    <row r="317" spans="1:12" x14ac:dyDescent="0.4">
      <c r="A317" s="57" t="s">
        <v>141</v>
      </c>
      <c r="B317" s="62">
        <v>2</v>
      </c>
      <c r="C317" s="62">
        <v>1</v>
      </c>
      <c r="D317" s="62">
        <v>2</v>
      </c>
      <c r="E317" s="62">
        <v>0</v>
      </c>
      <c r="F317" s="62">
        <v>0</v>
      </c>
      <c r="G317" s="62">
        <v>1</v>
      </c>
      <c r="H317" s="62"/>
      <c r="I317" s="62"/>
      <c r="J317" s="62"/>
      <c r="K317" s="62"/>
      <c r="L317" s="58"/>
    </row>
    <row r="318" spans="1:12" x14ac:dyDescent="0.4">
      <c r="A318" s="57" t="s">
        <v>142</v>
      </c>
      <c r="B318" s="62">
        <v>6</v>
      </c>
      <c r="C318" s="62">
        <v>3</v>
      </c>
      <c r="D318" s="62">
        <v>8</v>
      </c>
      <c r="E318" s="62">
        <v>0</v>
      </c>
      <c r="F318" s="62">
        <v>1</v>
      </c>
      <c r="G318" s="62">
        <v>0</v>
      </c>
      <c r="H318" s="62"/>
      <c r="I318" s="62"/>
      <c r="J318" s="62"/>
      <c r="K318" s="62"/>
      <c r="L318" s="58"/>
    </row>
    <row r="319" spans="1:12" x14ac:dyDescent="0.4">
      <c r="A319" s="57" t="s">
        <v>143</v>
      </c>
      <c r="B319" s="62">
        <v>0</v>
      </c>
      <c r="C319" s="62">
        <v>0</v>
      </c>
      <c r="D319" s="62">
        <v>0</v>
      </c>
      <c r="E319" s="62">
        <v>0</v>
      </c>
      <c r="F319" s="62">
        <v>0</v>
      </c>
      <c r="G319" s="62">
        <v>0</v>
      </c>
      <c r="H319" s="62"/>
      <c r="I319" s="62"/>
      <c r="J319" s="62"/>
      <c r="K319" s="62"/>
      <c r="L319" s="58"/>
    </row>
    <row r="320" spans="1:12" x14ac:dyDescent="0.4">
      <c r="A320" s="57" t="s">
        <v>144</v>
      </c>
      <c r="B320" s="62">
        <v>0</v>
      </c>
      <c r="C320" s="62">
        <v>0</v>
      </c>
      <c r="D320" s="62">
        <v>0</v>
      </c>
      <c r="E320" s="62">
        <v>0</v>
      </c>
      <c r="F320" s="62">
        <v>0</v>
      </c>
      <c r="G320" s="62">
        <v>0</v>
      </c>
      <c r="H320" s="62"/>
      <c r="I320" s="62"/>
      <c r="J320" s="62"/>
      <c r="K320" s="62"/>
      <c r="L320" s="58"/>
    </row>
    <row r="321" spans="1:12" x14ac:dyDescent="0.4">
      <c r="A321" s="57"/>
      <c r="B321" s="62"/>
      <c r="C321" s="62"/>
      <c r="D321" s="62"/>
      <c r="E321" s="62"/>
      <c r="F321" s="62"/>
      <c r="G321" s="62"/>
      <c r="H321" s="62"/>
      <c r="I321" s="62"/>
      <c r="J321" s="62"/>
      <c r="K321" s="62"/>
      <c r="L321" s="58"/>
    </row>
    <row r="322" spans="1:12" x14ac:dyDescent="0.4">
      <c r="A322" s="59"/>
      <c r="B322" s="60"/>
      <c r="C322" s="60"/>
      <c r="D322" s="60"/>
      <c r="E322" s="60"/>
      <c r="F322" s="60"/>
      <c r="G322" s="60"/>
      <c r="H322" s="60"/>
      <c r="I322" s="60"/>
      <c r="J322" s="60"/>
      <c r="K322" s="60"/>
      <c r="L322" s="61"/>
    </row>
    <row r="323" spans="1:12" x14ac:dyDescent="0.4">
      <c r="A323" s="54">
        <v>0</v>
      </c>
      <c r="B323" s="55">
        <v>41</v>
      </c>
      <c r="C323" s="55">
        <v>25</v>
      </c>
      <c r="D323" s="55">
        <v>27</v>
      </c>
      <c r="E323" s="55">
        <v>13</v>
      </c>
      <c r="F323" s="55">
        <v>0</v>
      </c>
      <c r="G323" s="55">
        <v>1536</v>
      </c>
      <c r="H323" s="55">
        <v>1</v>
      </c>
      <c r="I323" s="55">
        <v>100</v>
      </c>
      <c r="J323" s="55">
        <v>30</v>
      </c>
      <c r="K323" s="55">
        <v>40</v>
      </c>
      <c r="L323" s="56">
        <v>30</v>
      </c>
    </row>
    <row r="324" spans="1:12" x14ac:dyDescent="0.4">
      <c r="A324" s="57" t="s">
        <v>134</v>
      </c>
      <c r="B324" s="62">
        <v>4</v>
      </c>
      <c r="C324" s="62"/>
      <c r="D324" s="62"/>
      <c r="E324" s="62"/>
      <c r="F324" s="62"/>
      <c r="G324" s="62"/>
      <c r="H324" s="62"/>
      <c r="I324" s="62"/>
      <c r="J324" s="62">
        <v>1</v>
      </c>
      <c r="K324" s="62">
        <v>7</v>
      </c>
      <c r="L324" s="58">
        <v>13</v>
      </c>
    </row>
    <row r="325" spans="1:12" x14ac:dyDescent="0.4">
      <c r="A325" s="57" t="s">
        <v>141</v>
      </c>
      <c r="B325" s="62">
        <v>3</v>
      </c>
      <c r="C325" s="62">
        <v>1</v>
      </c>
      <c r="D325" s="62">
        <v>3</v>
      </c>
      <c r="E325" s="62">
        <v>1</v>
      </c>
      <c r="F325" s="62">
        <v>0</v>
      </c>
      <c r="G325" s="62">
        <v>0</v>
      </c>
      <c r="H325" s="62"/>
      <c r="I325" s="62"/>
      <c r="J325" s="62"/>
      <c r="K325" s="62"/>
      <c r="L325" s="58"/>
    </row>
    <row r="326" spans="1:12" x14ac:dyDescent="0.4">
      <c r="A326" s="57" t="s">
        <v>142</v>
      </c>
      <c r="B326" s="62">
        <v>10</v>
      </c>
      <c r="C326" s="62">
        <v>4</v>
      </c>
      <c r="D326" s="62">
        <v>13</v>
      </c>
      <c r="E326" s="62">
        <v>1</v>
      </c>
      <c r="F326" s="62">
        <v>0</v>
      </c>
      <c r="G326" s="62">
        <v>0</v>
      </c>
      <c r="H326" s="62"/>
      <c r="I326" s="62"/>
      <c r="J326" s="62"/>
      <c r="K326" s="62"/>
      <c r="L326" s="58"/>
    </row>
    <row r="327" spans="1:12" x14ac:dyDescent="0.4">
      <c r="A327" s="57" t="s">
        <v>143</v>
      </c>
      <c r="B327" s="62">
        <v>3</v>
      </c>
      <c r="C327" s="62">
        <v>10</v>
      </c>
      <c r="D327" s="62">
        <v>13</v>
      </c>
      <c r="E327" s="62">
        <v>0</v>
      </c>
      <c r="F327" s="62">
        <v>0</v>
      </c>
      <c r="G327" s="62">
        <v>1</v>
      </c>
      <c r="H327" s="62"/>
      <c r="I327" s="62"/>
      <c r="J327" s="62"/>
      <c r="K327" s="62"/>
      <c r="L327" s="58"/>
    </row>
    <row r="328" spans="1:12" x14ac:dyDescent="0.4">
      <c r="A328" s="57" t="s">
        <v>144</v>
      </c>
      <c r="B328" s="62">
        <v>3</v>
      </c>
      <c r="C328" s="62">
        <v>6</v>
      </c>
      <c r="D328" s="62">
        <v>9</v>
      </c>
      <c r="E328" s="62">
        <v>0</v>
      </c>
      <c r="F328" s="62">
        <v>0</v>
      </c>
      <c r="G328" s="62">
        <v>1</v>
      </c>
      <c r="H328" s="62"/>
      <c r="I328" s="62"/>
      <c r="J328" s="62"/>
      <c r="K328" s="62"/>
      <c r="L328" s="58"/>
    </row>
    <row r="329" spans="1:12" x14ac:dyDescent="0.4">
      <c r="A329" s="57"/>
      <c r="B329" s="62"/>
      <c r="C329" s="62"/>
      <c r="D329" s="62"/>
      <c r="E329" s="62"/>
      <c r="F329" s="62"/>
      <c r="G329" s="62"/>
      <c r="H329" s="62"/>
      <c r="I329" s="62"/>
      <c r="J329" s="62"/>
      <c r="K329" s="62"/>
      <c r="L329" s="58"/>
    </row>
    <row r="330" spans="1:12" x14ac:dyDescent="0.4">
      <c r="A330" s="59"/>
      <c r="B330" s="60"/>
      <c r="C330" s="60"/>
      <c r="D330" s="60"/>
      <c r="E330" s="60"/>
      <c r="F330" s="60"/>
      <c r="G330" s="60"/>
      <c r="H330" s="60"/>
      <c r="I330" s="60"/>
      <c r="J330" s="60"/>
      <c r="K330" s="60"/>
      <c r="L330" s="61"/>
    </row>
    <row r="331" spans="1:12" x14ac:dyDescent="0.4">
      <c r="A331" s="54">
        <v>0</v>
      </c>
      <c r="B331" s="55">
        <v>42</v>
      </c>
      <c r="C331" s="55">
        <v>26</v>
      </c>
      <c r="D331" s="55">
        <v>27</v>
      </c>
      <c r="E331" s="55">
        <v>4</v>
      </c>
      <c r="F331" s="55">
        <v>0</v>
      </c>
      <c r="G331" s="55">
        <v>296</v>
      </c>
      <c r="H331" s="55">
        <v>1</v>
      </c>
      <c r="I331" s="55">
        <v>100</v>
      </c>
      <c r="J331" s="55">
        <v>30</v>
      </c>
      <c r="K331" s="55">
        <v>70</v>
      </c>
      <c r="L331" s="56"/>
    </row>
    <row r="332" spans="1:12" x14ac:dyDescent="0.4">
      <c r="A332" s="57" t="s">
        <v>134</v>
      </c>
      <c r="B332" s="62">
        <v>1</v>
      </c>
      <c r="C332" s="62"/>
      <c r="D332" s="62"/>
      <c r="E332" s="62"/>
      <c r="F332" s="62"/>
      <c r="G332" s="62"/>
      <c r="H332" s="62"/>
      <c r="I332" s="62"/>
      <c r="J332" s="62">
        <v>1</v>
      </c>
      <c r="K332" s="62">
        <v>4</v>
      </c>
      <c r="L332" s="58">
        <v>0</v>
      </c>
    </row>
    <row r="333" spans="1:12" x14ac:dyDescent="0.4">
      <c r="A333" s="57" t="s">
        <v>141</v>
      </c>
      <c r="B333" s="62">
        <v>4</v>
      </c>
      <c r="C333" s="62">
        <v>1</v>
      </c>
      <c r="D333" s="62">
        <v>4</v>
      </c>
      <c r="E333" s="62">
        <v>0</v>
      </c>
      <c r="F333" s="62">
        <v>1</v>
      </c>
      <c r="G333" s="62">
        <v>0</v>
      </c>
      <c r="H333" s="62"/>
      <c r="I333" s="62"/>
      <c r="J333" s="62"/>
      <c r="K333" s="62"/>
      <c r="L333" s="58"/>
    </row>
    <row r="334" spans="1:12" x14ac:dyDescent="0.4">
      <c r="A334" s="57" t="s">
        <v>142</v>
      </c>
      <c r="B334" s="62">
        <v>0</v>
      </c>
      <c r="C334" s="62">
        <v>0</v>
      </c>
      <c r="D334" s="62">
        <v>0</v>
      </c>
      <c r="E334" s="62">
        <v>0</v>
      </c>
      <c r="F334" s="62">
        <v>0</v>
      </c>
      <c r="G334" s="62">
        <v>0</v>
      </c>
      <c r="H334" s="62"/>
      <c r="I334" s="62"/>
      <c r="J334" s="62"/>
      <c r="K334" s="62"/>
      <c r="L334" s="58"/>
    </row>
    <row r="335" spans="1:12" x14ac:dyDescent="0.4">
      <c r="A335" s="57" t="s">
        <v>143</v>
      </c>
      <c r="B335" s="62">
        <v>0</v>
      </c>
      <c r="C335" s="62">
        <v>0</v>
      </c>
      <c r="D335" s="62">
        <v>0</v>
      </c>
      <c r="E335" s="62">
        <v>0</v>
      </c>
      <c r="F335" s="62">
        <v>0</v>
      </c>
      <c r="G335" s="62">
        <v>0</v>
      </c>
      <c r="H335" s="62"/>
      <c r="I335" s="62"/>
      <c r="J335" s="62"/>
      <c r="K335" s="62"/>
      <c r="L335" s="58"/>
    </row>
    <row r="336" spans="1:12" x14ac:dyDescent="0.4">
      <c r="A336" s="57" t="s">
        <v>144</v>
      </c>
      <c r="B336" s="62">
        <v>0</v>
      </c>
      <c r="C336" s="62">
        <v>0</v>
      </c>
      <c r="D336" s="62">
        <v>0</v>
      </c>
      <c r="E336" s="62">
        <v>0</v>
      </c>
      <c r="F336" s="62">
        <v>0</v>
      </c>
      <c r="G336" s="62">
        <v>0</v>
      </c>
      <c r="H336" s="62"/>
      <c r="I336" s="62"/>
      <c r="J336" s="62"/>
      <c r="K336" s="62"/>
      <c r="L336" s="58"/>
    </row>
    <row r="337" spans="1:12" x14ac:dyDescent="0.4">
      <c r="A337" s="57"/>
      <c r="B337" s="62"/>
      <c r="C337" s="62"/>
      <c r="D337" s="62"/>
      <c r="E337" s="62"/>
      <c r="F337" s="62"/>
      <c r="G337" s="62"/>
      <c r="H337" s="62"/>
      <c r="I337" s="62"/>
      <c r="J337" s="62"/>
      <c r="K337" s="62"/>
      <c r="L337" s="58"/>
    </row>
    <row r="338" spans="1:12" x14ac:dyDescent="0.4">
      <c r="A338" s="59"/>
      <c r="B338" s="60"/>
      <c r="C338" s="60"/>
      <c r="D338" s="60"/>
      <c r="E338" s="60"/>
      <c r="F338" s="60"/>
      <c r="G338" s="60"/>
      <c r="H338" s="60"/>
      <c r="I338" s="60"/>
      <c r="J338" s="60"/>
      <c r="K338" s="60"/>
      <c r="L338" s="61"/>
    </row>
    <row r="339" spans="1:12" x14ac:dyDescent="0.4">
      <c r="A339" s="54">
        <v>0</v>
      </c>
      <c r="B339" s="55">
        <v>43</v>
      </c>
      <c r="C339" s="55">
        <v>26</v>
      </c>
      <c r="D339" s="55">
        <v>28</v>
      </c>
      <c r="E339" s="55">
        <v>2</v>
      </c>
      <c r="F339" s="55">
        <v>0</v>
      </c>
      <c r="G339" s="55">
        <v>148</v>
      </c>
      <c r="H339" s="55">
        <v>1</v>
      </c>
      <c r="I339" s="55">
        <v>100</v>
      </c>
      <c r="J339" s="55">
        <v>40</v>
      </c>
      <c r="K339" s="55">
        <v>60</v>
      </c>
      <c r="L339" s="56"/>
    </row>
    <row r="340" spans="1:12" x14ac:dyDescent="0.4">
      <c r="A340" s="57" t="s">
        <v>134</v>
      </c>
      <c r="B340" s="62">
        <v>1</v>
      </c>
      <c r="C340" s="62"/>
      <c r="D340" s="62"/>
      <c r="E340" s="62"/>
      <c r="F340" s="62"/>
      <c r="G340" s="62"/>
      <c r="H340" s="62"/>
      <c r="I340" s="62"/>
      <c r="J340" s="62">
        <v>1</v>
      </c>
      <c r="K340" s="62">
        <v>2</v>
      </c>
      <c r="L340" s="58">
        <v>0</v>
      </c>
    </row>
    <row r="341" spans="1:12" x14ac:dyDescent="0.4">
      <c r="A341" s="57" t="s">
        <v>141</v>
      </c>
      <c r="B341" s="62">
        <v>2</v>
      </c>
      <c r="C341" s="62">
        <v>1</v>
      </c>
      <c r="D341" s="62">
        <v>2</v>
      </c>
      <c r="E341" s="62">
        <v>0</v>
      </c>
      <c r="F341" s="62">
        <v>1</v>
      </c>
      <c r="G341" s="62">
        <v>0</v>
      </c>
      <c r="H341" s="62"/>
      <c r="I341" s="62"/>
      <c r="J341" s="62"/>
      <c r="K341" s="62"/>
      <c r="L341" s="58"/>
    </row>
    <row r="342" spans="1:12" x14ac:dyDescent="0.4">
      <c r="A342" s="57" t="s">
        <v>142</v>
      </c>
      <c r="B342" s="62">
        <v>0</v>
      </c>
      <c r="C342" s="62">
        <v>0</v>
      </c>
      <c r="D342" s="62">
        <v>0</v>
      </c>
      <c r="E342" s="62">
        <v>0</v>
      </c>
      <c r="F342" s="62">
        <v>0</v>
      </c>
      <c r="G342" s="62">
        <v>0</v>
      </c>
      <c r="H342" s="62"/>
      <c r="I342" s="62"/>
      <c r="J342" s="62"/>
      <c r="K342" s="62"/>
      <c r="L342" s="58"/>
    </row>
    <row r="343" spans="1:12" x14ac:dyDescent="0.4">
      <c r="A343" s="57" t="s">
        <v>143</v>
      </c>
      <c r="B343" s="62">
        <v>0</v>
      </c>
      <c r="C343" s="62">
        <v>0</v>
      </c>
      <c r="D343" s="62">
        <v>0</v>
      </c>
      <c r="E343" s="62">
        <v>0</v>
      </c>
      <c r="F343" s="62">
        <v>0</v>
      </c>
      <c r="G343" s="62">
        <v>0</v>
      </c>
      <c r="H343" s="62"/>
      <c r="I343" s="62"/>
      <c r="J343" s="62"/>
      <c r="K343" s="62"/>
      <c r="L343" s="58"/>
    </row>
    <row r="344" spans="1:12" x14ac:dyDescent="0.4">
      <c r="A344" s="57" t="s">
        <v>144</v>
      </c>
      <c r="B344" s="62">
        <v>0</v>
      </c>
      <c r="C344" s="62">
        <v>0</v>
      </c>
      <c r="D344" s="62">
        <v>0</v>
      </c>
      <c r="E344" s="62">
        <v>0</v>
      </c>
      <c r="F344" s="62">
        <v>0</v>
      </c>
      <c r="G344" s="62">
        <v>0</v>
      </c>
      <c r="H344" s="62"/>
      <c r="I344" s="62"/>
      <c r="J344" s="62"/>
      <c r="K344" s="62"/>
      <c r="L344" s="58"/>
    </row>
    <row r="345" spans="1:12" x14ac:dyDescent="0.4">
      <c r="A345" s="57"/>
      <c r="B345" s="62"/>
      <c r="C345" s="62"/>
      <c r="D345" s="62"/>
      <c r="E345" s="62"/>
      <c r="F345" s="62"/>
      <c r="G345" s="62"/>
      <c r="H345" s="62"/>
      <c r="I345" s="62"/>
      <c r="J345" s="62"/>
      <c r="K345" s="62"/>
      <c r="L345" s="58"/>
    </row>
    <row r="346" spans="1:12" x14ac:dyDescent="0.4">
      <c r="A346" s="59"/>
      <c r="B346" s="60"/>
      <c r="C346" s="60"/>
      <c r="D346" s="60"/>
      <c r="E346" s="60"/>
      <c r="F346" s="60"/>
      <c r="G346" s="60"/>
      <c r="H346" s="60"/>
      <c r="I346" s="60"/>
      <c r="J346" s="60"/>
      <c r="K346" s="60"/>
      <c r="L346" s="61"/>
    </row>
    <row r="347" spans="1:12" x14ac:dyDescent="0.4">
      <c r="A347" s="54">
        <v>0</v>
      </c>
      <c r="B347" s="55">
        <v>44</v>
      </c>
      <c r="C347" s="55">
        <v>26</v>
      </c>
      <c r="D347" s="55">
        <v>28</v>
      </c>
      <c r="E347" s="55">
        <v>2</v>
      </c>
      <c r="F347" s="55">
        <v>0</v>
      </c>
      <c r="G347" s="55">
        <v>96</v>
      </c>
      <c r="H347" s="55">
        <v>1</v>
      </c>
      <c r="I347" s="55">
        <v>100</v>
      </c>
      <c r="J347" s="55">
        <v>50</v>
      </c>
      <c r="K347" s="55">
        <v>50</v>
      </c>
      <c r="L347" s="56"/>
    </row>
    <row r="348" spans="1:12" x14ac:dyDescent="0.4">
      <c r="A348" s="57" t="s">
        <v>134</v>
      </c>
      <c r="B348" s="62">
        <v>1</v>
      </c>
      <c r="C348" s="62"/>
      <c r="D348" s="62"/>
      <c r="E348" s="62"/>
      <c r="F348" s="62"/>
      <c r="G348" s="62"/>
      <c r="H348" s="62"/>
      <c r="I348" s="62"/>
      <c r="J348" s="62">
        <v>1</v>
      </c>
      <c r="K348" s="62">
        <v>2</v>
      </c>
      <c r="L348" s="58">
        <v>0</v>
      </c>
    </row>
    <row r="349" spans="1:12" x14ac:dyDescent="0.4">
      <c r="A349" s="57" t="s">
        <v>141</v>
      </c>
      <c r="B349" s="62">
        <v>2</v>
      </c>
      <c r="C349" s="62">
        <v>1</v>
      </c>
      <c r="D349" s="62">
        <v>2</v>
      </c>
      <c r="E349" s="62">
        <v>0</v>
      </c>
      <c r="F349" s="62">
        <v>0</v>
      </c>
      <c r="G349" s="62">
        <v>1</v>
      </c>
      <c r="H349" s="62"/>
      <c r="I349" s="62"/>
      <c r="J349" s="62"/>
      <c r="K349" s="62"/>
      <c r="L349" s="58"/>
    </row>
    <row r="350" spans="1:12" x14ac:dyDescent="0.4">
      <c r="A350" s="57" t="s">
        <v>142</v>
      </c>
      <c r="B350" s="62">
        <v>0</v>
      </c>
      <c r="C350" s="62">
        <v>0</v>
      </c>
      <c r="D350" s="62">
        <v>0</v>
      </c>
      <c r="E350" s="62">
        <v>0</v>
      </c>
      <c r="F350" s="62">
        <v>0</v>
      </c>
      <c r="G350" s="62">
        <v>0</v>
      </c>
      <c r="H350" s="62"/>
      <c r="I350" s="62"/>
      <c r="J350" s="62"/>
      <c r="K350" s="62"/>
      <c r="L350" s="58"/>
    </row>
    <row r="351" spans="1:12" x14ac:dyDescent="0.4">
      <c r="A351" s="57" t="s">
        <v>143</v>
      </c>
      <c r="B351" s="62">
        <v>0</v>
      </c>
      <c r="C351" s="62">
        <v>0</v>
      </c>
      <c r="D351" s="62">
        <v>0</v>
      </c>
      <c r="E351" s="62">
        <v>0</v>
      </c>
      <c r="F351" s="62">
        <v>0</v>
      </c>
      <c r="G351" s="62">
        <v>0</v>
      </c>
      <c r="H351" s="62"/>
      <c r="I351" s="62"/>
      <c r="J351" s="62"/>
      <c r="K351" s="62"/>
      <c r="L351" s="58"/>
    </row>
    <row r="352" spans="1:12" x14ac:dyDescent="0.4">
      <c r="A352" s="57" t="s">
        <v>144</v>
      </c>
      <c r="B352" s="62">
        <v>0</v>
      </c>
      <c r="C352" s="62">
        <v>0</v>
      </c>
      <c r="D352" s="62">
        <v>0</v>
      </c>
      <c r="E352" s="62">
        <v>0</v>
      </c>
      <c r="F352" s="62">
        <v>0</v>
      </c>
      <c r="G352" s="62">
        <v>0</v>
      </c>
      <c r="H352" s="62"/>
      <c r="I352" s="62"/>
      <c r="J352" s="62"/>
      <c r="K352" s="62"/>
      <c r="L352" s="58"/>
    </row>
    <row r="353" spans="1:12" x14ac:dyDescent="0.4">
      <c r="A353" s="57"/>
      <c r="B353" s="62"/>
      <c r="C353" s="62"/>
      <c r="D353" s="62"/>
      <c r="E353" s="62"/>
      <c r="F353" s="62"/>
      <c r="G353" s="62"/>
      <c r="H353" s="62"/>
      <c r="I353" s="62"/>
      <c r="J353" s="62"/>
      <c r="K353" s="62"/>
      <c r="L353" s="58"/>
    </row>
    <row r="354" spans="1:12" x14ac:dyDescent="0.4">
      <c r="A354" s="59"/>
      <c r="B354" s="60"/>
      <c r="C354" s="60"/>
      <c r="D354" s="60"/>
      <c r="E354" s="60"/>
      <c r="F354" s="60"/>
      <c r="G354" s="60"/>
      <c r="H354" s="60"/>
      <c r="I354" s="60"/>
      <c r="J354" s="60"/>
      <c r="K354" s="60"/>
      <c r="L354" s="61"/>
    </row>
    <row r="355" spans="1:12" x14ac:dyDescent="0.4">
      <c r="A355" s="54">
        <v>0</v>
      </c>
      <c r="B355" s="55">
        <v>45</v>
      </c>
      <c r="C355" s="55">
        <v>27</v>
      </c>
      <c r="D355" s="55">
        <v>28</v>
      </c>
      <c r="E355" s="55">
        <v>2</v>
      </c>
      <c r="F355" s="55">
        <v>0</v>
      </c>
      <c r="G355" s="55">
        <v>192</v>
      </c>
      <c r="H355" s="55">
        <v>1</v>
      </c>
      <c r="I355" s="55">
        <v>100</v>
      </c>
      <c r="J355" s="55">
        <v>40</v>
      </c>
      <c r="K355" s="55">
        <v>60</v>
      </c>
      <c r="L355" s="56"/>
    </row>
    <row r="356" spans="1:12" x14ac:dyDescent="0.4">
      <c r="A356" s="57" t="s">
        <v>134</v>
      </c>
      <c r="B356" s="62">
        <v>1</v>
      </c>
      <c r="C356" s="62"/>
      <c r="D356" s="62"/>
      <c r="E356" s="62"/>
      <c r="F356" s="62"/>
      <c r="G356" s="62"/>
      <c r="H356" s="62"/>
      <c r="I356" s="62"/>
      <c r="J356" s="62">
        <v>1</v>
      </c>
      <c r="K356" s="62">
        <v>2</v>
      </c>
      <c r="L356" s="58">
        <v>0</v>
      </c>
    </row>
    <row r="357" spans="1:12" x14ac:dyDescent="0.4">
      <c r="A357" s="57" t="s">
        <v>141</v>
      </c>
      <c r="B357" s="62">
        <v>2</v>
      </c>
      <c r="C357" s="62">
        <v>1</v>
      </c>
      <c r="D357" s="62">
        <v>2</v>
      </c>
      <c r="E357" s="62">
        <v>1</v>
      </c>
      <c r="F357" s="62">
        <v>0</v>
      </c>
      <c r="G357" s="62">
        <v>0</v>
      </c>
      <c r="H357" s="62"/>
      <c r="I357" s="62"/>
      <c r="J357" s="62"/>
      <c r="K357" s="62"/>
      <c r="L357" s="58"/>
    </row>
    <row r="358" spans="1:12" x14ac:dyDescent="0.4">
      <c r="A358" s="57" t="s">
        <v>142</v>
      </c>
      <c r="B358" s="62">
        <v>0</v>
      </c>
      <c r="C358" s="62">
        <v>0</v>
      </c>
      <c r="D358" s="62">
        <v>0</v>
      </c>
      <c r="E358" s="62">
        <v>0</v>
      </c>
      <c r="F358" s="62">
        <v>0</v>
      </c>
      <c r="G358" s="62">
        <v>0</v>
      </c>
      <c r="H358" s="62"/>
      <c r="I358" s="62"/>
      <c r="J358" s="62"/>
      <c r="K358" s="62"/>
      <c r="L358" s="58"/>
    </row>
    <row r="359" spans="1:12" x14ac:dyDescent="0.4">
      <c r="A359" s="57" t="s">
        <v>143</v>
      </c>
      <c r="B359" s="62">
        <v>0</v>
      </c>
      <c r="C359" s="62">
        <v>0</v>
      </c>
      <c r="D359" s="62">
        <v>0</v>
      </c>
      <c r="E359" s="62">
        <v>0</v>
      </c>
      <c r="F359" s="62">
        <v>0</v>
      </c>
      <c r="G359" s="62">
        <v>0</v>
      </c>
      <c r="H359" s="62"/>
      <c r="I359" s="62"/>
      <c r="J359" s="62"/>
      <c r="K359" s="62"/>
      <c r="L359" s="58"/>
    </row>
    <row r="360" spans="1:12" x14ac:dyDescent="0.4">
      <c r="A360" s="57" t="s">
        <v>144</v>
      </c>
      <c r="B360" s="62">
        <v>0</v>
      </c>
      <c r="C360" s="62">
        <v>0</v>
      </c>
      <c r="D360" s="62">
        <v>0</v>
      </c>
      <c r="E360" s="62">
        <v>0</v>
      </c>
      <c r="F360" s="62">
        <v>0</v>
      </c>
      <c r="G360" s="62">
        <v>0</v>
      </c>
      <c r="H360" s="62"/>
      <c r="I360" s="62"/>
      <c r="J360" s="62"/>
      <c r="K360" s="62"/>
      <c r="L360" s="58"/>
    </row>
    <row r="361" spans="1:12" x14ac:dyDescent="0.4">
      <c r="A361" s="57"/>
      <c r="B361" s="62"/>
      <c r="C361" s="62"/>
      <c r="D361" s="62"/>
      <c r="E361" s="62"/>
      <c r="F361" s="62"/>
      <c r="G361" s="62"/>
      <c r="H361" s="62"/>
      <c r="I361" s="62"/>
      <c r="J361" s="62"/>
      <c r="K361" s="62"/>
      <c r="L361" s="58"/>
    </row>
    <row r="362" spans="1:12" x14ac:dyDescent="0.4">
      <c r="A362" s="59"/>
      <c r="B362" s="60"/>
      <c r="C362" s="60"/>
      <c r="D362" s="60"/>
      <c r="E362" s="60"/>
      <c r="F362" s="60"/>
      <c r="G362" s="60"/>
      <c r="H362" s="60"/>
      <c r="I362" s="60"/>
      <c r="J362" s="60"/>
      <c r="K362" s="60"/>
      <c r="L362" s="61"/>
    </row>
    <row r="363" spans="1:12" x14ac:dyDescent="0.4">
      <c r="A363" s="54">
        <v>0</v>
      </c>
      <c r="B363" s="55">
        <v>46</v>
      </c>
      <c r="C363" s="55">
        <v>27</v>
      </c>
      <c r="D363" s="55">
        <v>28</v>
      </c>
      <c r="E363" s="55">
        <v>2</v>
      </c>
      <c r="F363" s="55">
        <v>0</v>
      </c>
      <c r="G363" s="55">
        <v>148</v>
      </c>
      <c r="H363" s="55">
        <v>1</v>
      </c>
      <c r="I363" s="55">
        <v>100</v>
      </c>
      <c r="J363" s="55">
        <v>30</v>
      </c>
      <c r="K363" s="55">
        <v>70</v>
      </c>
      <c r="L363" s="56"/>
    </row>
    <row r="364" spans="1:12" x14ac:dyDescent="0.4">
      <c r="A364" s="57" t="s">
        <v>134</v>
      </c>
      <c r="B364" s="62">
        <v>1</v>
      </c>
      <c r="C364" s="62"/>
      <c r="D364" s="62"/>
      <c r="E364" s="62"/>
      <c r="F364" s="62"/>
      <c r="G364" s="62"/>
      <c r="H364" s="62"/>
      <c r="I364" s="62"/>
      <c r="J364" s="62">
        <v>1</v>
      </c>
      <c r="K364" s="62">
        <v>2</v>
      </c>
      <c r="L364" s="58">
        <v>0</v>
      </c>
    </row>
    <row r="365" spans="1:12" x14ac:dyDescent="0.4">
      <c r="A365" s="57" t="s">
        <v>141</v>
      </c>
      <c r="B365" s="62">
        <v>2</v>
      </c>
      <c r="C365" s="62">
        <v>1</v>
      </c>
      <c r="D365" s="62">
        <v>2</v>
      </c>
      <c r="E365" s="62">
        <v>0</v>
      </c>
      <c r="F365" s="62">
        <v>1</v>
      </c>
      <c r="G365" s="62">
        <v>0</v>
      </c>
      <c r="H365" s="62"/>
      <c r="I365" s="62"/>
      <c r="J365" s="62"/>
      <c r="K365" s="62"/>
      <c r="L365" s="58"/>
    </row>
    <row r="366" spans="1:12" x14ac:dyDescent="0.4">
      <c r="A366" s="57" t="s">
        <v>142</v>
      </c>
      <c r="B366" s="62">
        <v>0</v>
      </c>
      <c r="C366" s="62">
        <v>0</v>
      </c>
      <c r="D366" s="62">
        <v>0</v>
      </c>
      <c r="E366" s="62">
        <v>0</v>
      </c>
      <c r="F366" s="62">
        <v>0</v>
      </c>
      <c r="G366" s="62">
        <v>0</v>
      </c>
      <c r="H366" s="62"/>
      <c r="I366" s="62"/>
      <c r="J366" s="62"/>
      <c r="K366" s="62"/>
      <c r="L366" s="58"/>
    </row>
    <row r="367" spans="1:12" x14ac:dyDescent="0.4">
      <c r="A367" s="57" t="s">
        <v>143</v>
      </c>
      <c r="B367" s="62">
        <v>0</v>
      </c>
      <c r="C367" s="62">
        <v>0</v>
      </c>
      <c r="D367" s="62">
        <v>0</v>
      </c>
      <c r="E367" s="62">
        <v>0</v>
      </c>
      <c r="F367" s="62">
        <v>0</v>
      </c>
      <c r="G367" s="62">
        <v>0</v>
      </c>
      <c r="H367" s="62"/>
      <c r="I367" s="62"/>
      <c r="J367" s="62"/>
      <c r="K367" s="62"/>
      <c r="L367" s="58"/>
    </row>
    <row r="368" spans="1:12" x14ac:dyDescent="0.4">
      <c r="A368" s="57" t="s">
        <v>144</v>
      </c>
      <c r="B368" s="62">
        <v>0</v>
      </c>
      <c r="C368" s="62">
        <v>0</v>
      </c>
      <c r="D368" s="62">
        <v>0</v>
      </c>
      <c r="E368" s="62">
        <v>0</v>
      </c>
      <c r="F368" s="62">
        <v>0</v>
      </c>
      <c r="G368" s="62">
        <v>0</v>
      </c>
      <c r="H368" s="62"/>
      <c r="I368" s="62"/>
      <c r="J368" s="62"/>
      <c r="K368" s="62"/>
      <c r="L368" s="58"/>
    </row>
    <row r="369" spans="1:12" x14ac:dyDescent="0.4">
      <c r="A369" s="57"/>
      <c r="B369" s="62"/>
      <c r="C369" s="62"/>
      <c r="D369" s="62"/>
      <c r="E369" s="62"/>
      <c r="F369" s="62"/>
      <c r="G369" s="62"/>
      <c r="H369" s="62"/>
      <c r="I369" s="62"/>
      <c r="J369" s="62"/>
      <c r="K369" s="62"/>
      <c r="L369" s="58"/>
    </row>
    <row r="370" spans="1:12" x14ac:dyDescent="0.4">
      <c r="A370" s="59"/>
      <c r="B370" s="60"/>
      <c r="C370" s="60"/>
      <c r="D370" s="60"/>
      <c r="E370" s="60"/>
      <c r="F370" s="60"/>
      <c r="G370" s="60"/>
      <c r="H370" s="60"/>
      <c r="I370" s="60"/>
      <c r="J370" s="60"/>
      <c r="K370" s="60"/>
      <c r="L370" s="61"/>
    </row>
    <row r="371" spans="1:12" x14ac:dyDescent="0.4">
      <c r="A371" s="54">
        <v>0</v>
      </c>
      <c r="B371" s="55">
        <v>47</v>
      </c>
      <c r="C371" s="55">
        <v>27</v>
      </c>
      <c r="D371" s="55">
        <v>30</v>
      </c>
      <c r="E371" s="55">
        <v>2</v>
      </c>
      <c r="F371" s="55">
        <v>0</v>
      </c>
      <c r="G371" s="55">
        <v>96</v>
      </c>
      <c r="H371" s="55">
        <v>1</v>
      </c>
      <c r="I371" s="55">
        <v>100</v>
      </c>
      <c r="J371" s="55">
        <v>30</v>
      </c>
      <c r="K371" s="55">
        <v>70</v>
      </c>
      <c r="L371" s="56"/>
    </row>
    <row r="372" spans="1:12" x14ac:dyDescent="0.4">
      <c r="A372" s="57" t="s">
        <v>134</v>
      </c>
      <c r="B372" s="62">
        <v>1</v>
      </c>
      <c r="C372" s="62"/>
      <c r="D372" s="62"/>
      <c r="E372" s="62"/>
      <c r="F372" s="62"/>
      <c r="G372" s="62"/>
      <c r="H372" s="62"/>
      <c r="I372" s="62"/>
      <c r="J372" s="62">
        <v>1</v>
      </c>
      <c r="K372" s="62">
        <v>2</v>
      </c>
      <c r="L372" s="58">
        <v>0</v>
      </c>
    </row>
    <row r="373" spans="1:12" x14ac:dyDescent="0.4">
      <c r="A373" s="57" t="s">
        <v>141</v>
      </c>
      <c r="B373" s="62">
        <v>2</v>
      </c>
      <c r="C373" s="62">
        <v>1</v>
      </c>
      <c r="D373" s="62">
        <v>2</v>
      </c>
      <c r="E373" s="62">
        <v>0</v>
      </c>
      <c r="F373" s="62">
        <v>0</v>
      </c>
      <c r="G373" s="62">
        <v>1</v>
      </c>
      <c r="H373" s="62"/>
      <c r="I373" s="62"/>
      <c r="J373" s="62"/>
      <c r="K373" s="62"/>
      <c r="L373" s="58"/>
    </row>
    <row r="374" spans="1:12" x14ac:dyDescent="0.4">
      <c r="A374" s="57" t="s">
        <v>142</v>
      </c>
      <c r="B374" s="62">
        <v>0</v>
      </c>
      <c r="C374" s="62">
        <v>0</v>
      </c>
      <c r="D374" s="62">
        <v>0</v>
      </c>
      <c r="E374" s="62">
        <v>0</v>
      </c>
      <c r="F374" s="62">
        <v>0</v>
      </c>
      <c r="G374" s="62">
        <v>0</v>
      </c>
      <c r="H374" s="62"/>
      <c r="I374" s="62"/>
      <c r="J374" s="62"/>
      <c r="K374" s="62"/>
      <c r="L374" s="58"/>
    </row>
    <row r="375" spans="1:12" x14ac:dyDescent="0.4">
      <c r="A375" s="57" t="s">
        <v>143</v>
      </c>
      <c r="B375" s="62">
        <v>0</v>
      </c>
      <c r="C375" s="62">
        <v>0</v>
      </c>
      <c r="D375" s="62">
        <v>0</v>
      </c>
      <c r="E375" s="62">
        <v>0</v>
      </c>
      <c r="F375" s="62">
        <v>0</v>
      </c>
      <c r="G375" s="62">
        <v>0</v>
      </c>
      <c r="H375" s="62"/>
      <c r="I375" s="62"/>
      <c r="J375" s="62"/>
      <c r="K375" s="62"/>
      <c r="L375" s="58"/>
    </row>
    <row r="376" spans="1:12" x14ac:dyDescent="0.4">
      <c r="A376" s="57" t="s">
        <v>144</v>
      </c>
      <c r="B376" s="62">
        <v>0</v>
      </c>
      <c r="C376" s="62">
        <v>0</v>
      </c>
      <c r="D376" s="62">
        <v>0</v>
      </c>
      <c r="E376" s="62">
        <v>0</v>
      </c>
      <c r="F376" s="62">
        <v>0</v>
      </c>
      <c r="G376" s="62">
        <v>0</v>
      </c>
      <c r="H376" s="62"/>
      <c r="I376" s="62"/>
      <c r="J376" s="62"/>
      <c r="K376" s="62"/>
      <c r="L376" s="58"/>
    </row>
    <row r="377" spans="1:12" x14ac:dyDescent="0.4">
      <c r="A377" s="57"/>
      <c r="B377" s="62"/>
      <c r="C377" s="62"/>
      <c r="D377" s="62"/>
      <c r="E377" s="62"/>
      <c r="F377" s="62"/>
      <c r="G377" s="62"/>
      <c r="H377" s="62"/>
      <c r="I377" s="62"/>
      <c r="J377" s="62"/>
      <c r="K377" s="62"/>
      <c r="L377" s="58"/>
    </row>
    <row r="378" spans="1:12" x14ac:dyDescent="0.4">
      <c r="A378" s="59"/>
      <c r="B378" s="60"/>
      <c r="C378" s="60"/>
      <c r="D378" s="60"/>
      <c r="E378" s="60"/>
      <c r="F378" s="60"/>
      <c r="G378" s="60"/>
      <c r="H378" s="60"/>
      <c r="I378" s="60"/>
      <c r="J378" s="60"/>
      <c r="K378" s="60"/>
      <c r="L378" s="61"/>
    </row>
    <row r="379" spans="1:12" x14ac:dyDescent="0.4">
      <c r="A379" s="54">
        <v>0</v>
      </c>
      <c r="B379" s="55">
        <v>48</v>
      </c>
      <c r="C379" s="55">
        <v>28</v>
      </c>
      <c r="D379" s="55">
        <v>31</v>
      </c>
      <c r="E379" s="55">
        <v>4</v>
      </c>
      <c r="F379" s="55">
        <v>0</v>
      </c>
      <c r="G379" s="55">
        <v>296</v>
      </c>
      <c r="H379" s="55">
        <v>1</v>
      </c>
      <c r="I379" s="55">
        <v>100</v>
      </c>
      <c r="J379" s="55">
        <v>30</v>
      </c>
      <c r="K379" s="55">
        <v>70</v>
      </c>
      <c r="L379" s="56"/>
    </row>
    <row r="380" spans="1:12" x14ac:dyDescent="0.4">
      <c r="A380" s="57" t="s">
        <v>134</v>
      </c>
      <c r="B380" s="62">
        <v>1</v>
      </c>
      <c r="C380" s="62"/>
      <c r="D380" s="62"/>
      <c r="E380" s="62"/>
      <c r="F380" s="62"/>
      <c r="G380" s="62"/>
      <c r="H380" s="62"/>
      <c r="I380" s="62"/>
      <c r="J380" s="62">
        <v>1</v>
      </c>
      <c r="K380" s="62">
        <v>4</v>
      </c>
      <c r="L380" s="58">
        <v>0</v>
      </c>
    </row>
    <row r="381" spans="1:12" x14ac:dyDescent="0.4">
      <c r="A381" s="57" t="s">
        <v>141</v>
      </c>
      <c r="B381" s="62">
        <v>4</v>
      </c>
      <c r="C381" s="62">
        <v>1</v>
      </c>
      <c r="D381" s="62">
        <v>4</v>
      </c>
      <c r="E381" s="62">
        <v>0</v>
      </c>
      <c r="F381" s="62">
        <v>1</v>
      </c>
      <c r="G381" s="62">
        <v>0</v>
      </c>
      <c r="H381" s="62"/>
      <c r="I381" s="62"/>
      <c r="J381" s="62"/>
      <c r="K381" s="62"/>
      <c r="L381" s="58"/>
    </row>
    <row r="382" spans="1:12" x14ac:dyDescent="0.4">
      <c r="A382" s="57" t="s">
        <v>142</v>
      </c>
      <c r="B382" s="62">
        <v>0</v>
      </c>
      <c r="C382" s="62">
        <v>0</v>
      </c>
      <c r="D382" s="62">
        <v>0</v>
      </c>
      <c r="E382" s="62">
        <v>0</v>
      </c>
      <c r="F382" s="62">
        <v>0</v>
      </c>
      <c r="G382" s="62">
        <v>0</v>
      </c>
      <c r="H382" s="62"/>
      <c r="I382" s="62"/>
      <c r="J382" s="62"/>
      <c r="K382" s="62"/>
      <c r="L382" s="58"/>
    </row>
    <row r="383" spans="1:12" x14ac:dyDescent="0.4">
      <c r="A383" s="57" t="s">
        <v>143</v>
      </c>
      <c r="B383" s="62">
        <v>0</v>
      </c>
      <c r="C383" s="62">
        <v>0</v>
      </c>
      <c r="D383" s="62">
        <v>0</v>
      </c>
      <c r="E383" s="62">
        <v>0</v>
      </c>
      <c r="F383" s="62">
        <v>0</v>
      </c>
      <c r="G383" s="62">
        <v>0</v>
      </c>
      <c r="H383" s="62"/>
      <c r="I383" s="62"/>
      <c r="J383" s="62"/>
      <c r="K383" s="62"/>
      <c r="L383" s="58"/>
    </row>
    <row r="384" spans="1:12" x14ac:dyDescent="0.4">
      <c r="A384" s="57" t="s">
        <v>144</v>
      </c>
      <c r="B384" s="62">
        <v>0</v>
      </c>
      <c r="C384" s="62">
        <v>0</v>
      </c>
      <c r="D384" s="62">
        <v>0</v>
      </c>
      <c r="E384" s="62">
        <v>0</v>
      </c>
      <c r="F384" s="62">
        <v>0</v>
      </c>
      <c r="G384" s="62">
        <v>0</v>
      </c>
      <c r="H384" s="62"/>
      <c r="I384" s="62"/>
      <c r="J384" s="62"/>
      <c r="K384" s="62"/>
      <c r="L384" s="58"/>
    </row>
    <row r="385" spans="1:12" x14ac:dyDescent="0.4">
      <c r="A385" s="57"/>
      <c r="B385" s="62"/>
      <c r="C385" s="62"/>
      <c r="D385" s="62"/>
      <c r="E385" s="62"/>
      <c r="F385" s="62"/>
      <c r="G385" s="62"/>
      <c r="H385" s="62"/>
      <c r="I385" s="62"/>
      <c r="J385" s="62"/>
      <c r="K385" s="62"/>
      <c r="L385" s="58"/>
    </row>
    <row r="386" spans="1:12" x14ac:dyDescent="0.4">
      <c r="A386" s="59"/>
      <c r="B386" s="60"/>
      <c r="C386" s="60"/>
      <c r="D386" s="60"/>
      <c r="E386" s="60"/>
      <c r="F386" s="60"/>
      <c r="G386" s="60"/>
      <c r="H386" s="60"/>
      <c r="I386" s="60"/>
      <c r="J386" s="60"/>
      <c r="K386" s="60"/>
      <c r="L386" s="61"/>
    </row>
    <row r="387" spans="1:12" x14ac:dyDescent="0.4">
      <c r="A387" s="54">
        <v>0</v>
      </c>
      <c r="B387" s="55">
        <v>49</v>
      </c>
      <c r="C387" s="55">
        <v>28</v>
      </c>
      <c r="D387" s="55">
        <v>29</v>
      </c>
      <c r="E387" s="55">
        <v>3</v>
      </c>
      <c r="F387" s="55">
        <v>0</v>
      </c>
      <c r="G387" s="55">
        <v>222</v>
      </c>
      <c r="H387" s="55">
        <v>1</v>
      </c>
      <c r="I387" s="55">
        <v>100</v>
      </c>
      <c r="J387" s="55">
        <v>30</v>
      </c>
      <c r="K387" s="55">
        <v>70</v>
      </c>
      <c r="L387" s="56"/>
    </row>
    <row r="388" spans="1:12" x14ac:dyDescent="0.4">
      <c r="A388" s="57" t="s">
        <v>134</v>
      </c>
      <c r="B388" s="62">
        <v>1</v>
      </c>
      <c r="C388" s="62"/>
      <c r="D388" s="62"/>
      <c r="E388" s="62"/>
      <c r="F388" s="62"/>
      <c r="G388" s="62"/>
      <c r="H388" s="62"/>
      <c r="I388" s="62"/>
      <c r="J388" s="62">
        <v>1</v>
      </c>
      <c r="K388" s="62">
        <v>3</v>
      </c>
      <c r="L388" s="58">
        <v>0</v>
      </c>
    </row>
    <row r="389" spans="1:12" x14ac:dyDescent="0.4">
      <c r="A389" s="57" t="s">
        <v>141</v>
      </c>
      <c r="B389" s="62">
        <v>3</v>
      </c>
      <c r="C389" s="62">
        <v>1</v>
      </c>
      <c r="D389" s="62">
        <v>3</v>
      </c>
      <c r="E389" s="62">
        <v>0</v>
      </c>
      <c r="F389" s="62">
        <v>1</v>
      </c>
      <c r="G389" s="62">
        <v>0</v>
      </c>
      <c r="H389" s="62"/>
      <c r="I389" s="62"/>
      <c r="J389" s="62"/>
      <c r="K389" s="62"/>
      <c r="L389" s="58"/>
    </row>
    <row r="390" spans="1:12" x14ac:dyDescent="0.4">
      <c r="A390" s="57" t="s">
        <v>142</v>
      </c>
      <c r="B390" s="62">
        <v>0</v>
      </c>
      <c r="C390" s="62">
        <v>0</v>
      </c>
      <c r="D390" s="62">
        <v>0</v>
      </c>
      <c r="E390" s="62">
        <v>0</v>
      </c>
      <c r="F390" s="62">
        <v>0</v>
      </c>
      <c r="G390" s="62">
        <v>0</v>
      </c>
      <c r="H390" s="62"/>
      <c r="I390" s="62"/>
      <c r="J390" s="62"/>
      <c r="K390" s="62"/>
      <c r="L390" s="58"/>
    </row>
    <row r="391" spans="1:12" x14ac:dyDescent="0.4">
      <c r="A391" s="57" t="s">
        <v>143</v>
      </c>
      <c r="B391" s="62">
        <v>0</v>
      </c>
      <c r="C391" s="62">
        <v>0</v>
      </c>
      <c r="D391" s="62">
        <v>0</v>
      </c>
      <c r="E391" s="62">
        <v>0</v>
      </c>
      <c r="F391" s="62">
        <v>0</v>
      </c>
      <c r="G391" s="62">
        <v>0</v>
      </c>
      <c r="H391" s="62"/>
      <c r="I391" s="62"/>
      <c r="J391" s="62"/>
      <c r="K391" s="62"/>
      <c r="L391" s="58"/>
    </row>
    <row r="392" spans="1:12" x14ac:dyDescent="0.4">
      <c r="A392" s="57" t="s">
        <v>144</v>
      </c>
      <c r="B392" s="62">
        <v>0</v>
      </c>
      <c r="C392" s="62">
        <v>0</v>
      </c>
      <c r="D392" s="62">
        <v>0</v>
      </c>
      <c r="E392" s="62">
        <v>0</v>
      </c>
      <c r="F392" s="62">
        <v>0</v>
      </c>
      <c r="G392" s="62">
        <v>0</v>
      </c>
      <c r="H392" s="62"/>
      <c r="I392" s="62"/>
      <c r="J392" s="62"/>
      <c r="K392" s="62"/>
      <c r="L392" s="58"/>
    </row>
    <row r="393" spans="1:12" x14ac:dyDescent="0.4">
      <c r="A393" s="57"/>
      <c r="B393" s="62"/>
      <c r="C393" s="62"/>
      <c r="D393" s="62"/>
      <c r="E393" s="62"/>
      <c r="F393" s="62"/>
      <c r="G393" s="62"/>
      <c r="H393" s="62"/>
      <c r="I393" s="62"/>
      <c r="J393" s="62"/>
      <c r="K393" s="62"/>
      <c r="L393" s="58"/>
    </row>
    <row r="394" spans="1:12" x14ac:dyDescent="0.4">
      <c r="A394" s="59"/>
      <c r="B394" s="60"/>
      <c r="C394" s="60"/>
      <c r="D394" s="60"/>
      <c r="E394" s="60"/>
      <c r="F394" s="60"/>
      <c r="G394" s="60"/>
      <c r="H394" s="60"/>
      <c r="I394" s="60"/>
      <c r="J394" s="60"/>
      <c r="K394" s="60"/>
      <c r="L394" s="61"/>
    </row>
    <row r="395" spans="1:12" x14ac:dyDescent="0.4">
      <c r="A395" s="54">
        <v>0</v>
      </c>
      <c r="B395" s="55">
        <v>50</v>
      </c>
      <c r="C395" s="55">
        <v>29</v>
      </c>
      <c r="D395" s="55">
        <v>31</v>
      </c>
      <c r="E395" s="55">
        <v>10</v>
      </c>
      <c r="F395" s="55">
        <v>0</v>
      </c>
      <c r="G395" s="55">
        <v>894</v>
      </c>
      <c r="H395" s="55">
        <v>1</v>
      </c>
      <c r="I395" s="55">
        <v>100</v>
      </c>
      <c r="J395" s="55">
        <v>30</v>
      </c>
      <c r="K395" s="55">
        <v>30</v>
      </c>
      <c r="L395" s="56">
        <v>40</v>
      </c>
    </row>
    <row r="396" spans="1:12" x14ac:dyDescent="0.4">
      <c r="A396" s="57" t="s">
        <v>134</v>
      </c>
      <c r="B396" s="62">
        <v>2</v>
      </c>
      <c r="C396" s="62"/>
      <c r="D396" s="62"/>
      <c r="E396" s="62"/>
      <c r="F396" s="62"/>
      <c r="G396" s="62"/>
      <c r="H396" s="62"/>
      <c r="I396" s="62"/>
      <c r="J396" s="62">
        <v>1</v>
      </c>
      <c r="K396" s="62">
        <v>5</v>
      </c>
      <c r="L396" s="58">
        <v>10</v>
      </c>
    </row>
    <row r="397" spans="1:12" x14ac:dyDescent="0.4">
      <c r="A397" s="57" t="s">
        <v>141</v>
      </c>
      <c r="B397" s="62">
        <v>3</v>
      </c>
      <c r="C397" s="62">
        <v>1</v>
      </c>
      <c r="D397" s="62">
        <v>3</v>
      </c>
      <c r="E397" s="62">
        <v>0</v>
      </c>
      <c r="F397" s="62">
        <v>1</v>
      </c>
      <c r="G397" s="62">
        <v>0</v>
      </c>
      <c r="H397" s="62"/>
      <c r="I397" s="62"/>
      <c r="J397" s="62"/>
      <c r="K397" s="62"/>
      <c r="L397" s="58"/>
    </row>
    <row r="398" spans="1:12" x14ac:dyDescent="0.4">
      <c r="A398" s="57" t="s">
        <v>142</v>
      </c>
      <c r="B398" s="62">
        <v>7</v>
      </c>
      <c r="C398" s="62">
        <v>4</v>
      </c>
      <c r="D398" s="62">
        <v>10</v>
      </c>
      <c r="E398" s="62">
        <v>1</v>
      </c>
      <c r="F398" s="62">
        <v>0</v>
      </c>
      <c r="G398" s="62">
        <v>0</v>
      </c>
      <c r="H398" s="62"/>
      <c r="I398" s="62"/>
      <c r="J398" s="62"/>
      <c r="K398" s="62"/>
      <c r="L398" s="58"/>
    </row>
    <row r="399" spans="1:12" x14ac:dyDescent="0.4">
      <c r="A399" s="57" t="s">
        <v>143</v>
      </c>
      <c r="B399" s="62">
        <v>0</v>
      </c>
      <c r="C399" s="62">
        <v>0</v>
      </c>
      <c r="D399" s="62">
        <v>0</v>
      </c>
      <c r="E399" s="62">
        <v>0</v>
      </c>
      <c r="F399" s="62">
        <v>0</v>
      </c>
      <c r="G399" s="62">
        <v>0</v>
      </c>
      <c r="H399" s="62"/>
      <c r="I399" s="62"/>
      <c r="J399" s="62"/>
      <c r="K399" s="62"/>
      <c r="L399" s="58"/>
    </row>
    <row r="400" spans="1:12" x14ac:dyDescent="0.4">
      <c r="A400" s="57" t="s">
        <v>144</v>
      </c>
      <c r="B400" s="62">
        <v>0</v>
      </c>
      <c r="C400" s="62">
        <v>0</v>
      </c>
      <c r="D400" s="62">
        <v>0</v>
      </c>
      <c r="E400" s="62">
        <v>0</v>
      </c>
      <c r="F400" s="62">
        <v>0</v>
      </c>
      <c r="G400" s="62">
        <v>0</v>
      </c>
      <c r="H400" s="62"/>
      <c r="I400" s="62"/>
      <c r="J400" s="62"/>
      <c r="K400" s="62"/>
      <c r="L400" s="58"/>
    </row>
    <row r="401" spans="1:12" x14ac:dyDescent="0.4">
      <c r="A401" s="57"/>
      <c r="B401" s="62"/>
      <c r="C401" s="62"/>
      <c r="D401" s="62"/>
      <c r="E401" s="62"/>
      <c r="F401" s="62"/>
      <c r="G401" s="62"/>
      <c r="H401" s="62"/>
      <c r="I401" s="62"/>
      <c r="J401" s="62"/>
      <c r="K401" s="62"/>
      <c r="L401" s="58"/>
    </row>
    <row r="402" spans="1:12" x14ac:dyDescent="0.4">
      <c r="A402" s="59"/>
      <c r="B402" s="60"/>
      <c r="C402" s="60"/>
      <c r="D402" s="60"/>
      <c r="E402" s="60"/>
      <c r="F402" s="60"/>
      <c r="G402" s="60"/>
      <c r="H402" s="60"/>
      <c r="I402" s="60"/>
      <c r="J402" s="60"/>
      <c r="K402" s="60"/>
      <c r="L402" s="61"/>
    </row>
    <row r="403" spans="1:12" x14ac:dyDescent="0.4">
      <c r="A403" s="54">
        <v>0</v>
      </c>
      <c r="B403" s="55">
        <v>51</v>
      </c>
      <c r="C403" s="55">
        <v>29</v>
      </c>
      <c r="D403" s="55">
        <v>32</v>
      </c>
      <c r="E403" s="55">
        <v>2</v>
      </c>
      <c r="F403" s="55">
        <v>0</v>
      </c>
      <c r="G403" s="55">
        <v>192</v>
      </c>
      <c r="H403" s="55">
        <v>1</v>
      </c>
      <c r="I403" s="55">
        <v>100</v>
      </c>
      <c r="J403" s="55">
        <v>50</v>
      </c>
      <c r="K403" s="55">
        <v>50</v>
      </c>
      <c r="L403" s="56"/>
    </row>
    <row r="404" spans="1:12" x14ac:dyDescent="0.4">
      <c r="A404" s="57" t="s">
        <v>134</v>
      </c>
      <c r="B404" s="62">
        <v>1</v>
      </c>
      <c r="C404" s="62"/>
      <c r="D404" s="62"/>
      <c r="E404" s="62"/>
      <c r="F404" s="62"/>
      <c r="G404" s="62"/>
      <c r="H404" s="62"/>
      <c r="I404" s="62"/>
      <c r="J404" s="62">
        <v>1</v>
      </c>
      <c r="K404" s="62">
        <v>2</v>
      </c>
      <c r="L404" s="58">
        <v>0</v>
      </c>
    </row>
    <row r="405" spans="1:12" x14ac:dyDescent="0.4">
      <c r="A405" s="57" t="s">
        <v>141</v>
      </c>
      <c r="B405" s="62">
        <v>2</v>
      </c>
      <c r="C405" s="62">
        <v>1</v>
      </c>
      <c r="D405" s="62">
        <v>2</v>
      </c>
      <c r="E405" s="62">
        <v>1</v>
      </c>
      <c r="F405" s="62">
        <v>0</v>
      </c>
      <c r="G405" s="62">
        <v>0</v>
      </c>
      <c r="H405" s="62"/>
      <c r="I405" s="62"/>
      <c r="J405" s="62"/>
      <c r="K405" s="62"/>
      <c r="L405" s="58"/>
    </row>
    <row r="406" spans="1:12" x14ac:dyDescent="0.4">
      <c r="A406" s="57" t="s">
        <v>142</v>
      </c>
      <c r="B406" s="62">
        <v>0</v>
      </c>
      <c r="C406" s="62">
        <v>0</v>
      </c>
      <c r="D406" s="62">
        <v>0</v>
      </c>
      <c r="E406" s="62">
        <v>0</v>
      </c>
      <c r="F406" s="62">
        <v>0</v>
      </c>
      <c r="G406" s="62">
        <v>0</v>
      </c>
      <c r="H406" s="62"/>
      <c r="I406" s="62"/>
      <c r="J406" s="62"/>
      <c r="K406" s="62"/>
      <c r="L406" s="58"/>
    </row>
    <row r="407" spans="1:12" x14ac:dyDescent="0.4">
      <c r="A407" s="57" t="s">
        <v>143</v>
      </c>
      <c r="B407" s="62">
        <v>0</v>
      </c>
      <c r="C407" s="62">
        <v>0</v>
      </c>
      <c r="D407" s="62">
        <v>0</v>
      </c>
      <c r="E407" s="62">
        <v>0</v>
      </c>
      <c r="F407" s="62">
        <v>0</v>
      </c>
      <c r="G407" s="62">
        <v>0</v>
      </c>
      <c r="H407" s="62"/>
      <c r="I407" s="62"/>
      <c r="J407" s="62"/>
      <c r="K407" s="62"/>
      <c r="L407" s="58"/>
    </row>
    <row r="408" spans="1:12" x14ac:dyDescent="0.4">
      <c r="A408" s="57" t="s">
        <v>144</v>
      </c>
      <c r="B408" s="62">
        <v>0</v>
      </c>
      <c r="C408" s="62">
        <v>0</v>
      </c>
      <c r="D408" s="62">
        <v>0</v>
      </c>
      <c r="E408" s="62">
        <v>0</v>
      </c>
      <c r="F408" s="62">
        <v>0</v>
      </c>
      <c r="G408" s="62">
        <v>0</v>
      </c>
      <c r="H408" s="62"/>
      <c r="I408" s="62"/>
      <c r="J408" s="62"/>
      <c r="K408" s="62"/>
      <c r="L408" s="58"/>
    </row>
    <row r="409" spans="1:12" x14ac:dyDescent="0.4">
      <c r="A409" s="57"/>
      <c r="B409" s="62"/>
      <c r="C409" s="62"/>
      <c r="D409" s="62"/>
      <c r="E409" s="62"/>
      <c r="F409" s="62"/>
      <c r="G409" s="62"/>
      <c r="H409" s="62"/>
      <c r="I409" s="62"/>
      <c r="J409" s="62"/>
      <c r="K409" s="62"/>
      <c r="L409" s="58"/>
    </row>
    <row r="410" spans="1:12" x14ac:dyDescent="0.4">
      <c r="A410" s="59"/>
      <c r="B410" s="60"/>
      <c r="C410" s="60"/>
      <c r="D410" s="60"/>
      <c r="E410" s="60"/>
      <c r="F410" s="60"/>
      <c r="G410" s="60"/>
      <c r="H410" s="60"/>
      <c r="I410" s="60"/>
      <c r="J410" s="60"/>
      <c r="K410" s="60"/>
      <c r="L410" s="61"/>
    </row>
    <row r="411" spans="1:12" x14ac:dyDescent="0.4">
      <c r="A411" s="54">
        <v>0</v>
      </c>
      <c r="B411" s="55">
        <v>52</v>
      </c>
      <c r="C411" s="55">
        <v>31</v>
      </c>
      <c r="D411" s="55">
        <v>32</v>
      </c>
      <c r="E411" s="55">
        <v>24</v>
      </c>
      <c r="F411" s="55">
        <v>0</v>
      </c>
      <c r="G411" s="55">
        <v>2582</v>
      </c>
      <c r="H411" s="55">
        <v>1</v>
      </c>
      <c r="I411" s="55">
        <v>100</v>
      </c>
      <c r="J411" s="55">
        <v>30</v>
      </c>
      <c r="K411" s="55">
        <v>40</v>
      </c>
      <c r="L411" s="56">
        <v>30</v>
      </c>
    </row>
    <row r="412" spans="1:12" x14ac:dyDescent="0.4">
      <c r="A412" s="57" t="s">
        <v>134</v>
      </c>
      <c r="B412" s="62">
        <v>4</v>
      </c>
      <c r="C412" s="62"/>
      <c r="D412" s="62"/>
      <c r="E412" s="62"/>
      <c r="F412" s="62"/>
      <c r="G412" s="62"/>
      <c r="H412" s="62"/>
      <c r="I412" s="62"/>
      <c r="J412" s="62">
        <v>1</v>
      </c>
      <c r="K412" s="62">
        <v>12</v>
      </c>
      <c r="L412" s="58">
        <v>24</v>
      </c>
    </row>
    <row r="413" spans="1:12" x14ac:dyDescent="0.4">
      <c r="A413" s="57" t="s">
        <v>141</v>
      </c>
      <c r="B413" s="62">
        <v>5</v>
      </c>
      <c r="C413" s="62">
        <v>1</v>
      </c>
      <c r="D413" s="62">
        <v>5</v>
      </c>
      <c r="E413" s="62">
        <v>0</v>
      </c>
      <c r="F413" s="62">
        <v>1</v>
      </c>
      <c r="G413" s="62">
        <v>0</v>
      </c>
      <c r="H413" s="62"/>
      <c r="I413" s="62"/>
      <c r="J413" s="62"/>
      <c r="K413" s="62"/>
      <c r="L413" s="58"/>
    </row>
    <row r="414" spans="1:12" x14ac:dyDescent="0.4">
      <c r="A414" s="57" t="s">
        <v>142</v>
      </c>
      <c r="B414" s="62">
        <v>19</v>
      </c>
      <c r="C414" s="62">
        <v>6</v>
      </c>
      <c r="D414" s="62">
        <v>24</v>
      </c>
      <c r="E414" s="62">
        <v>0</v>
      </c>
      <c r="F414" s="62">
        <v>1</v>
      </c>
      <c r="G414" s="62">
        <v>0</v>
      </c>
      <c r="H414" s="62"/>
      <c r="I414" s="62"/>
      <c r="J414" s="62"/>
      <c r="K414" s="62"/>
      <c r="L414" s="58"/>
    </row>
    <row r="415" spans="1:12" x14ac:dyDescent="0.4">
      <c r="A415" s="57" t="s">
        <v>143</v>
      </c>
      <c r="B415" s="62">
        <v>6</v>
      </c>
      <c r="C415" s="62">
        <v>18</v>
      </c>
      <c r="D415" s="62">
        <v>24</v>
      </c>
      <c r="E415" s="62">
        <v>0</v>
      </c>
      <c r="F415" s="62">
        <v>0</v>
      </c>
      <c r="G415" s="62">
        <v>1</v>
      </c>
      <c r="H415" s="62"/>
      <c r="I415" s="62"/>
      <c r="J415" s="62"/>
      <c r="K415" s="62"/>
      <c r="L415" s="58"/>
    </row>
    <row r="416" spans="1:12" x14ac:dyDescent="0.4">
      <c r="A416" s="57" t="s">
        <v>144</v>
      </c>
      <c r="B416" s="62">
        <v>7</v>
      </c>
      <c r="C416" s="62">
        <v>10</v>
      </c>
      <c r="D416" s="62">
        <v>17</v>
      </c>
      <c r="E416" s="62">
        <v>0</v>
      </c>
      <c r="F416" s="62">
        <v>1</v>
      </c>
      <c r="G416" s="62">
        <v>0</v>
      </c>
      <c r="H416" s="62"/>
      <c r="I416" s="62"/>
      <c r="J416" s="62"/>
      <c r="K416" s="62"/>
      <c r="L416" s="58"/>
    </row>
    <row r="417" spans="1:12" x14ac:dyDescent="0.4">
      <c r="A417" s="57"/>
      <c r="B417" s="62"/>
      <c r="C417" s="62"/>
      <c r="D417" s="62"/>
      <c r="E417" s="62"/>
      <c r="F417" s="62"/>
      <c r="G417" s="62"/>
      <c r="H417" s="62"/>
      <c r="I417" s="62"/>
      <c r="J417" s="62"/>
      <c r="K417" s="62"/>
      <c r="L417" s="58"/>
    </row>
    <row r="418" spans="1:12" x14ac:dyDescent="0.4">
      <c r="A418" s="59"/>
      <c r="B418" s="60"/>
      <c r="C418" s="60"/>
      <c r="D418" s="60"/>
      <c r="E418" s="60"/>
      <c r="F418" s="60"/>
      <c r="G418" s="60"/>
      <c r="H418" s="60"/>
      <c r="I418" s="60"/>
      <c r="J418" s="60"/>
      <c r="K418" s="60"/>
      <c r="L418" s="61"/>
    </row>
    <row r="419" spans="1:12" x14ac:dyDescent="0.4">
      <c r="A419" s="54">
        <v>0</v>
      </c>
      <c r="B419" s="55">
        <v>53</v>
      </c>
      <c r="C419" s="55">
        <v>31</v>
      </c>
      <c r="D419" s="55">
        <v>33</v>
      </c>
      <c r="E419" s="55">
        <v>10</v>
      </c>
      <c r="F419" s="55">
        <v>0</v>
      </c>
      <c r="G419" s="55">
        <v>864</v>
      </c>
      <c r="H419" s="55">
        <v>0</v>
      </c>
      <c r="I419" s="55">
        <v>100</v>
      </c>
      <c r="J419" s="55">
        <v>30</v>
      </c>
      <c r="K419" s="55">
        <v>30</v>
      </c>
      <c r="L419" s="56">
        <v>40</v>
      </c>
    </row>
    <row r="420" spans="1:12" x14ac:dyDescent="0.4">
      <c r="A420" s="57" t="s">
        <v>134</v>
      </c>
      <c r="B420" s="62">
        <v>2</v>
      </c>
      <c r="C420" s="62"/>
      <c r="D420" s="62"/>
      <c r="E420" s="62"/>
      <c r="F420" s="62"/>
      <c r="G420" s="62"/>
      <c r="H420" s="62"/>
      <c r="I420" s="62"/>
      <c r="J420" s="62">
        <v>1</v>
      </c>
      <c r="K420" s="62">
        <v>5</v>
      </c>
      <c r="L420" s="58">
        <v>10</v>
      </c>
    </row>
    <row r="421" spans="1:12" x14ac:dyDescent="0.4">
      <c r="A421" s="57" t="s">
        <v>141</v>
      </c>
      <c r="B421" s="62">
        <v>2</v>
      </c>
      <c r="C421" s="62">
        <v>1</v>
      </c>
      <c r="D421" s="62">
        <v>2</v>
      </c>
      <c r="E421" s="62">
        <v>0</v>
      </c>
      <c r="F421" s="62">
        <v>0</v>
      </c>
      <c r="G421" s="62">
        <v>1</v>
      </c>
      <c r="H421" s="62"/>
      <c r="I421" s="62"/>
      <c r="J421" s="62"/>
      <c r="K421" s="62"/>
      <c r="L421" s="58"/>
    </row>
    <row r="422" spans="1:12" x14ac:dyDescent="0.4">
      <c r="A422" s="57" t="s">
        <v>142</v>
      </c>
      <c r="B422" s="62">
        <v>8</v>
      </c>
      <c r="C422" s="62">
        <v>3</v>
      </c>
      <c r="D422" s="62">
        <v>10</v>
      </c>
      <c r="E422" s="62">
        <v>1</v>
      </c>
      <c r="F422" s="62">
        <v>0</v>
      </c>
      <c r="G422" s="62">
        <v>0</v>
      </c>
      <c r="H422" s="62"/>
      <c r="I422" s="62"/>
      <c r="J422" s="62"/>
      <c r="K422" s="62"/>
      <c r="L422" s="58"/>
    </row>
    <row r="423" spans="1:12" x14ac:dyDescent="0.4">
      <c r="A423" s="57" t="s">
        <v>143</v>
      </c>
      <c r="B423" s="62">
        <v>0</v>
      </c>
      <c r="C423" s="62">
        <v>0</v>
      </c>
      <c r="D423" s="62">
        <v>0</v>
      </c>
      <c r="E423" s="62">
        <v>0</v>
      </c>
      <c r="F423" s="62">
        <v>0</v>
      </c>
      <c r="G423" s="62">
        <v>0</v>
      </c>
      <c r="H423" s="62"/>
      <c r="I423" s="62"/>
      <c r="J423" s="62"/>
      <c r="K423" s="62"/>
      <c r="L423" s="58"/>
    </row>
    <row r="424" spans="1:12" x14ac:dyDescent="0.4">
      <c r="A424" s="57" t="s">
        <v>144</v>
      </c>
      <c r="B424" s="62">
        <v>0</v>
      </c>
      <c r="C424" s="62">
        <v>0</v>
      </c>
      <c r="D424" s="62">
        <v>0</v>
      </c>
      <c r="E424" s="62">
        <v>0</v>
      </c>
      <c r="F424" s="62">
        <v>0</v>
      </c>
      <c r="G424" s="62">
        <v>0</v>
      </c>
      <c r="H424" s="62"/>
      <c r="I424" s="62"/>
      <c r="J424" s="62"/>
      <c r="K424" s="62"/>
      <c r="L424" s="58"/>
    </row>
    <row r="425" spans="1:12" x14ac:dyDescent="0.4">
      <c r="A425" s="57"/>
      <c r="B425" s="62"/>
      <c r="C425" s="62"/>
      <c r="D425" s="62"/>
      <c r="E425" s="62"/>
      <c r="F425" s="62"/>
      <c r="G425" s="62"/>
      <c r="H425" s="62"/>
      <c r="I425" s="62"/>
      <c r="J425" s="62"/>
      <c r="K425" s="62"/>
      <c r="L425" s="58"/>
    </row>
    <row r="426" spans="1:12" x14ac:dyDescent="0.4">
      <c r="A426" s="59"/>
      <c r="B426" s="60"/>
      <c r="C426" s="60"/>
      <c r="D426" s="60"/>
      <c r="E426" s="60"/>
      <c r="F426" s="60"/>
      <c r="G426" s="60"/>
      <c r="H426" s="60"/>
      <c r="I426" s="60"/>
      <c r="J426" s="60"/>
      <c r="K426" s="60"/>
      <c r="L426" s="61"/>
    </row>
    <row r="427" spans="1:12" x14ac:dyDescent="0.4">
      <c r="A427" s="54">
        <v>0</v>
      </c>
      <c r="B427" s="55">
        <v>54</v>
      </c>
      <c r="C427" s="55">
        <v>31</v>
      </c>
      <c r="D427" s="55">
        <v>34</v>
      </c>
      <c r="E427" s="55">
        <v>2</v>
      </c>
      <c r="F427" s="55">
        <v>0</v>
      </c>
      <c r="G427" s="55">
        <v>96</v>
      </c>
      <c r="H427" s="55">
        <v>1</v>
      </c>
      <c r="I427" s="55">
        <v>100</v>
      </c>
      <c r="J427" s="55">
        <v>40</v>
      </c>
      <c r="K427" s="55">
        <v>60</v>
      </c>
      <c r="L427" s="56"/>
    </row>
    <row r="428" spans="1:12" x14ac:dyDescent="0.4">
      <c r="A428" s="57" t="s">
        <v>134</v>
      </c>
      <c r="B428" s="62">
        <v>1</v>
      </c>
      <c r="C428" s="62"/>
      <c r="D428" s="62"/>
      <c r="E428" s="62"/>
      <c r="F428" s="62"/>
      <c r="G428" s="62"/>
      <c r="H428" s="62"/>
      <c r="I428" s="62"/>
      <c r="J428" s="62">
        <v>1</v>
      </c>
      <c r="K428" s="62">
        <v>2</v>
      </c>
      <c r="L428" s="58">
        <v>0</v>
      </c>
    </row>
    <row r="429" spans="1:12" x14ac:dyDescent="0.4">
      <c r="A429" s="57" t="s">
        <v>141</v>
      </c>
      <c r="B429" s="62">
        <v>2</v>
      </c>
      <c r="C429" s="62">
        <v>1</v>
      </c>
      <c r="D429" s="62">
        <v>2</v>
      </c>
      <c r="E429" s="62">
        <v>0</v>
      </c>
      <c r="F429" s="62">
        <v>0</v>
      </c>
      <c r="G429" s="62">
        <v>1</v>
      </c>
      <c r="H429" s="62"/>
      <c r="I429" s="62"/>
      <c r="J429" s="62"/>
      <c r="K429" s="62"/>
      <c r="L429" s="58"/>
    </row>
    <row r="430" spans="1:12" x14ac:dyDescent="0.4">
      <c r="A430" s="57" t="s">
        <v>142</v>
      </c>
      <c r="B430" s="62">
        <v>0</v>
      </c>
      <c r="C430" s="62">
        <v>0</v>
      </c>
      <c r="D430" s="62">
        <v>0</v>
      </c>
      <c r="E430" s="62">
        <v>0</v>
      </c>
      <c r="F430" s="62">
        <v>0</v>
      </c>
      <c r="G430" s="62">
        <v>0</v>
      </c>
      <c r="H430" s="62"/>
      <c r="I430" s="62"/>
      <c r="J430" s="62"/>
      <c r="K430" s="62"/>
      <c r="L430" s="58"/>
    </row>
    <row r="431" spans="1:12" x14ac:dyDescent="0.4">
      <c r="A431" s="57" t="s">
        <v>143</v>
      </c>
      <c r="B431" s="62">
        <v>0</v>
      </c>
      <c r="C431" s="62">
        <v>0</v>
      </c>
      <c r="D431" s="62">
        <v>0</v>
      </c>
      <c r="E431" s="62">
        <v>0</v>
      </c>
      <c r="F431" s="62">
        <v>0</v>
      </c>
      <c r="G431" s="62">
        <v>0</v>
      </c>
      <c r="H431" s="62"/>
      <c r="I431" s="62"/>
      <c r="J431" s="62"/>
      <c r="K431" s="62"/>
      <c r="L431" s="58"/>
    </row>
    <row r="432" spans="1:12" x14ac:dyDescent="0.4">
      <c r="A432" s="57" t="s">
        <v>144</v>
      </c>
      <c r="B432" s="62">
        <v>0</v>
      </c>
      <c r="C432" s="62">
        <v>0</v>
      </c>
      <c r="D432" s="62">
        <v>0</v>
      </c>
      <c r="E432" s="62">
        <v>0</v>
      </c>
      <c r="F432" s="62">
        <v>0</v>
      </c>
      <c r="G432" s="62">
        <v>0</v>
      </c>
      <c r="H432" s="62"/>
      <c r="I432" s="62"/>
      <c r="J432" s="62"/>
      <c r="K432" s="62"/>
      <c r="L432" s="58"/>
    </row>
    <row r="433" spans="1:12" x14ac:dyDescent="0.4">
      <c r="A433" s="57"/>
      <c r="B433" s="62"/>
      <c r="C433" s="62"/>
      <c r="D433" s="62"/>
      <c r="E433" s="62"/>
      <c r="F433" s="62"/>
      <c r="G433" s="62"/>
      <c r="H433" s="62"/>
      <c r="I433" s="62"/>
      <c r="J433" s="62"/>
      <c r="K433" s="62"/>
      <c r="L433" s="58"/>
    </row>
    <row r="434" spans="1:12" x14ac:dyDescent="0.4">
      <c r="A434" s="59"/>
      <c r="B434" s="60"/>
      <c r="C434" s="60"/>
      <c r="D434" s="60"/>
      <c r="E434" s="60"/>
      <c r="F434" s="60"/>
      <c r="G434" s="60"/>
      <c r="H434" s="60"/>
      <c r="I434" s="60"/>
      <c r="J434" s="60"/>
      <c r="K434" s="60"/>
      <c r="L434" s="61"/>
    </row>
    <row r="435" spans="1:12" x14ac:dyDescent="0.4">
      <c r="A435" s="54">
        <v>0</v>
      </c>
      <c r="B435" s="55">
        <v>55</v>
      </c>
      <c r="C435" s="55">
        <v>33</v>
      </c>
      <c r="D435" s="55">
        <v>35</v>
      </c>
      <c r="E435" s="55">
        <v>9</v>
      </c>
      <c r="F435" s="55">
        <v>0</v>
      </c>
      <c r="G435" s="55">
        <v>528</v>
      </c>
      <c r="H435" s="55">
        <v>1</v>
      </c>
      <c r="I435" s="55">
        <v>100</v>
      </c>
      <c r="J435" s="55">
        <v>30</v>
      </c>
      <c r="K435" s="55">
        <v>30</v>
      </c>
      <c r="L435" s="56">
        <v>40</v>
      </c>
    </row>
    <row r="436" spans="1:12" x14ac:dyDescent="0.4">
      <c r="A436" s="57" t="s">
        <v>134</v>
      </c>
      <c r="B436" s="62">
        <v>2</v>
      </c>
      <c r="C436" s="62"/>
      <c r="D436" s="62"/>
      <c r="E436" s="62"/>
      <c r="F436" s="62"/>
      <c r="G436" s="62"/>
      <c r="H436" s="62"/>
      <c r="I436" s="62"/>
      <c r="J436" s="62">
        <v>1</v>
      </c>
      <c r="K436" s="62">
        <v>5</v>
      </c>
      <c r="L436" s="58">
        <v>9</v>
      </c>
    </row>
    <row r="437" spans="1:12" x14ac:dyDescent="0.4">
      <c r="A437" s="57" t="s">
        <v>141</v>
      </c>
      <c r="B437" s="62">
        <v>2</v>
      </c>
      <c r="C437" s="62">
        <v>1</v>
      </c>
      <c r="D437" s="62">
        <v>2</v>
      </c>
      <c r="E437" s="62">
        <v>1</v>
      </c>
      <c r="F437" s="62">
        <v>0</v>
      </c>
      <c r="G437" s="62">
        <v>0</v>
      </c>
      <c r="H437" s="62"/>
      <c r="I437" s="62"/>
      <c r="J437" s="62"/>
      <c r="K437" s="62"/>
      <c r="L437" s="58"/>
    </row>
    <row r="438" spans="1:12" x14ac:dyDescent="0.4">
      <c r="A438" s="57" t="s">
        <v>142</v>
      </c>
      <c r="B438" s="62">
        <v>7</v>
      </c>
      <c r="C438" s="62">
        <v>3</v>
      </c>
      <c r="D438" s="62">
        <v>9</v>
      </c>
      <c r="E438" s="62">
        <v>0</v>
      </c>
      <c r="F438" s="62">
        <v>0</v>
      </c>
      <c r="G438" s="62">
        <v>1</v>
      </c>
      <c r="H438" s="62"/>
      <c r="I438" s="62"/>
      <c r="J438" s="62"/>
      <c r="K438" s="62"/>
      <c r="L438" s="58"/>
    </row>
    <row r="439" spans="1:12" x14ac:dyDescent="0.4">
      <c r="A439" s="57" t="s">
        <v>143</v>
      </c>
      <c r="B439" s="62">
        <v>0</v>
      </c>
      <c r="C439" s="62">
        <v>0</v>
      </c>
      <c r="D439" s="62">
        <v>0</v>
      </c>
      <c r="E439" s="62">
        <v>0</v>
      </c>
      <c r="F439" s="62">
        <v>0</v>
      </c>
      <c r="G439" s="62">
        <v>0</v>
      </c>
      <c r="H439" s="62"/>
      <c r="I439" s="62"/>
      <c r="J439" s="62"/>
      <c r="K439" s="62"/>
      <c r="L439" s="58"/>
    </row>
    <row r="440" spans="1:12" x14ac:dyDescent="0.4">
      <c r="A440" s="57" t="s">
        <v>144</v>
      </c>
      <c r="B440" s="62">
        <v>0</v>
      </c>
      <c r="C440" s="62">
        <v>0</v>
      </c>
      <c r="D440" s="62">
        <v>0</v>
      </c>
      <c r="E440" s="62">
        <v>0</v>
      </c>
      <c r="F440" s="62">
        <v>0</v>
      </c>
      <c r="G440" s="62">
        <v>0</v>
      </c>
      <c r="H440" s="62"/>
      <c r="I440" s="62"/>
      <c r="J440" s="62"/>
      <c r="K440" s="62"/>
      <c r="L440" s="58"/>
    </row>
    <row r="441" spans="1:12" x14ac:dyDescent="0.4">
      <c r="A441" s="57"/>
      <c r="B441" s="62"/>
      <c r="C441" s="62"/>
      <c r="D441" s="62"/>
      <c r="E441" s="62"/>
      <c r="F441" s="62"/>
      <c r="G441" s="62"/>
      <c r="H441" s="62"/>
      <c r="I441" s="62"/>
      <c r="J441" s="62"/>
      <c r="K441" s="62"/>
      <c r="L441" s="58"/>
    </row>
    <row r="442" spans="1:12" x14ac:dyDescent="0.4">
      <c r="A442" s="59"/>
      <c r="B442" s="60"/>
      <c r="C442" s="60"/>
      <c r="D442" s="60"/>
      <c r="E442" s="60"/>
      <c r="F442" s="60"/>
      <c r="G442" s="60"/>
      <c r="H442" s="60"/>
      <c r="I442" s="60"/>
      <c r="J442" s="60"/>
      <c r="K442" s="60"/>
      <c r="L442" s="61"/>
    </row>
    <row r="443" spans="1:12" x14ac:dyDescent="0.4">
      <c r="A443" s="54">
        <v>0</v>
      </c>
      <c r="B443" s="55">
        <v>56</v>
      </c>
      <c r="C443" s="55">
        <v>33</v>
      </c>
      <c r="D443" s="55">
        <v>36</v>
      </c>
      <c r="E443" s="55">
        <v>8</v>
      </c>
      <c r="F443" s="55">
        <v>0</v>
      </c>
      <c r="G443" s="55">
        <v>724</v>
      </c>
      <c r="H443" s="55">
        <v>1</v>
      </c>
      <c r="I443" s="55">
        <v>100</v>
      </c>
      <c r="J443" s="55">
        <v>30</v>
      </c>
      <c r="K443" s="55">
        <v>30</v>
      </c>
      <c r="L443" s="56">
        <v>40</v>
      </c>
    </row>
    <row r="444" spans="1:12" x14ac:dyDescent="0.4">
      <c r="A444" s="57" t="s">
        <v>134</v>
      </c>
      <c r="B444" s="62">
        <v>2</v>
      </c>
      <c r="C444" s="62"/>
      <c r="D444" s="62"/>
      <c r="E444" s="62"/>
      <c r="F444" s="62"/>
      <c r="G444" s="62"/>
      <c r="H444" s="62"/>
      <c r="I444" s="62"/>
      <c r="J444" s="62">
        <v>1</v>
      </c>
      <c r="K444" s="62">
        <v>4</v>
      </c>
      <c r="L444" s="58">
        <v>8</v>
      </c>
    </row>
    <row r="445" spans="1:12" x14ac:dyDescent="0.4">
      <c r="A445" s="57" t="s">
        <v>141</v>
      </c>
      <c r="B445" s="62">
        <v>2</v>
      </c>
      <c r="C445" s="62">
        <v>1</v>
      </c>
      <c r="D445" s="62">
        <v>2</v>
      </c>
      <c r="E445" s="62">
        <v>0</v>
      </c>
      <c r="F445" s="62">
        <v>1</v>
      </c>
      <c r="G445" s="62">
        <v>0</v>
      </c>
      <c r="H445" s="62"/>
      <c r="I445" s="62"/>
      <c r="J445" s="62"/>
      <c r="K445" s="62"/>
      <c r="L445" s="58"/>
    </row>
    <row r="446" spans="1:12" x14ac:dyDescent="0.4">
      <c r="A446" s="57" t="s">
        <v>142</v>
      </c>
      <c r="B446" s="62">
        <v>6</v>
      </c>
      <c r="C446" s="62">
        <v>3</v>
      </c>
      <c r="D446" s="62">
        <v>8</v>
      </c>
      <c r="E446" s="62">
        <v>1</v>
      </c>
      <c r="F446" s="62">
        <v>0</v>
      </c>
      <c r="G446" s="62">
        <v>0</v>
      </c>
      <c r="H446" s="62"/>
      <c r="I446" s="62"/>
      <c r="J446" s="62"/>
      <c r="K446" s="62"/>
      <c r="L446" s="58"/>
    </row>
    <row r="447" spans="1:12" x14ac:dyDescent="0.4">
      <c r="A447" s="57" t="s">
        <v>143</v>
      </c>
      <c r="B447" s="62">
        <v>0</v>
      </c>
      <c r="C447" s="62">
        <v>0</v>
      </c>
      <c r="D447" s="62">
        <v>0</v>
      </c>
      <c r="E447" s="62">
        <v>0</v>
      </c>
      <c r="F447" s="62">
        <v>0</v>
      </c>
      <c r="G447" s="62">
        <v>0</v>
      </c>
      <c r="H447" s="62"/>
      <c r="I447" s="62"/>
      <c r="J447" s="62"/>
      <c r="K447" s="62"/>
      <c r="L447" s="58"/>
    </row>
    <row r="448" spans="1:12" x14ac:dyDescent="0.4">
      <c r="A448" s="57" t="s">
        <v>144</v>
      </c>
      <c r="B448" s="62">
        <v>0</v>
      </c>
      <c r="C448" s="62">
        <v>0</v>
      </c>
      <c r="D448" s="62">
        <v>0</v>
      </c>
      <c r="E448" s="62">
        <v>0</v>
      </c>
      <c r="F448" s="62">
        <v>0</v>
      </c>
      <c r="G448" s="62">
        <v>0</v>
      </c>
      <c r="H448" s="62"/>
      <c r="I448" s="62"/>
      <c r="J448" s="62"/>
      <c r="K448" s="62"/>
      <c r="L448" s="58"/>
    </row>
    <row r="449" spans="1:12" x14ac:dyDescent="0.4">
      <c r="A449" s="57"/>
      <c r="B449" s="62"/>
      <c r="C449" s="62"/>
      <c r="D449" s="62"/>
      <c r="E449" s="62"/>
      <c r="F449" s="62"/>
      <c r="G449" s="62"/>
      <c r="H449" s="62"/>
      <c r="I449" s="62"/>
      <c r="J449" s="62"/>
      <c r="K449" s="62"/>
      <c r="L449" s="58"/>
    </row>
    <row r="450" spans="1:12" x14ac:dyDescent="0.4">
      <c r="A450" s="59"/>
      <c r="B450" s="60"/>
      <c r="C450" s="60"/>
      <c r="D450" s="60"/>
      <c r="E450" s="60"/>
      <c r="F450" s="60"/>
      <c r="G450" s="60"/>
      <c r="H450" s="60"/>
      <c r="I450" s="60"/>
      <c r="J450" s="60"/>
      <c r="K450" s="60"/>
      <c r="L450" s="61"/>
    </row>
    <row r="451" spans="1:12" x14ac:dyDescent="0.4">
      <c r="A451" s="54">
        <v>0</v>
      </c>
      <c r="B451" s="55">
        <v>57</v>
      </c>
      <c r="C451" s="55">
        <v>34</v>
      </c>
      <c r="D451" s="55">
        <v>35</v>
      </c>
      <c r="E451" s="55">
        <v>3</v>
      </c>
      <c r="F451" s="55">
        <v>0</v>
      </c>
      <c r="G451" s="55">
        <v>222</v>
      </c>
      <c r="H451" s="55">
        <v>1</v>
      </c>
      <c r="I451" s="55">
        <v>100</v>
      </c>
      <c r="J451" s="55">
        <v>30</v>
      </c>
      <c r="K451" s="55">
        <v>70</v>
      </c>
      <c r="L451" s="56"/>
    </row>
    <row r="452" spans="1:12" x14ac:dyDescent="0.4">
      <c r="A452" s="57" t="s">
        <v>134</v>
      </c>
      <c r="B452" s="62">
        <v>1</v>
      </c>
      <c r="C452" s="62"/>
      <c r="D452" s="62"/>
      <c r="E452" s="62"/>
      <c r="F452" s="62"/>
      <c r="G452" s="62"/>
      <c r="H452" s="62"/>
      <c r="I452" s="62"/>
      <c r="J452" s="62">
        <v>1</v>
      </c>
      <c r="K452" s="62">
        <v>3</v>
      </c>
      <c r="L452" s="58">
        <v>0</v>
      </c>
    </row>
    <row r="453" spans="1:12" x14ac:dyDescent="0.4">
      <c r="A453" s="57" t="s">
        <v>141</v>
      </c>
      <c r="B453" s="62">
        <v>3</v>
      </c>
      <c r="C453" s="62">
        <v>1</v>
      </c>
      <c r="D453" s="62">
        <v>3</v>
      </c>
      <c r="E453" s="62">
        <v>0</v>
      </c>
      <c r="F453" s="62">
        <v>1</v>
      </c>
      <c r="G453" s="62">
        <v>0</v>
      </c>
      <c r="H453" s="62"/>
      <c r="I453" s="62"/>
      <c r="J453" s="62"/>
      <c r="K453" s="62"/>
      <c r="L453" s="58"/>
    </row>
    <row r="454" spans="1:12" x14ac:dyDescent="0.4">
      <c r="A454" s="57" t="s">
        <v>142</v>
      </c>
      <c r="B454" s="62">
        <v>0</v>
      </c>
      <c r="C454" s="62">
        <v>0</v>
      </c>
      <c r="D454" s="62">
        <v>0</v>
      </c>
      <c r="E454" s="62">
        <v>0</v>
      </c>
      <c r="F454" s="62">
        <v>0</v>
      </c>
      <c r="G454" s="62">
        <v>0</v>
      </c>
      <c r="H454" s="62"/>
      <c r="I454" s="62"/>
      <c r="J454" s="62"/>
      <c r="K454" s="62"/>
      <c r="L454" s="58"/>
    </row>
    <row r="455" spans="1:12" x14ac:dyDescent="0.4">
      <c r="A455" s="57" t="s">
        <v>143</v>
      </c>
      <c r="B455" s="62">
        <v>0</v>
      </c>
      <c r="C455" s="62">
        <v>0</v>
      </c>
      <c r="D455" s="62">
        <v>0</v>
      </c>
      <c r="E455" s="62">
        <v>0</v>
      </c>
      <c r="F455" s="62">
        <v>0</v>
      </c>
      <c r="G455" s="62">
        <v>0</v>
      </c>
      <c r="H455" s="62"/>
      <c r="I455" s="62"/>
      <c r="J455" s="62"/>
      <c r="K455" s="62"/>
      <c r="L455" s="58"/>
    </row>
    <row r="456" spans="1:12" x14ac:dyDescent="0.4">
      <c r="A456" s="57" t="s">
        <v>144</v>
      </c>
      <c r="B456" s="62">
        <v>0</v>
      </c>
      <c r="C456" s="62">
        <v>0</v>
      </c>
      <c r="D456" s="62">
        <v>0</v>
      </c>
      <c r="E456" s="62">
        <v>0</v>
      </c>
      <c r="F456" s="62">
        <v>0</v>
      </c>
      <c r="G456" s="62">
        <v>0</v>
      </c>
      <c r="H456" s="62"/>
      <c r="I456" s="62"/>
      <c r="J456" s="62"/>
      <c r="K456" s="62"/>
      <c r="L456" s="58"/>
    </row>
    <row r="457" spans="1:12" x14ac:dyDescent="0.4">
      <c r="A457" s="57"/>
      <c r="B457" s="62"/>
      <c r="C457" s="62"/>
      <c r="D457" s="62"/>
      <c r="E457" s="62"/>
      <c r="F457" s="62"/>
      <c r="G457" s="62"/>
      <c r="H457" s="62"/>
      <c r="I457" s="62"/>
      <c r="J457" s="62"/>
      <c r="K457" s="62"/>
      <c r="L457" s="58"/>
    </row>
    <row r="458" spans="1:12" x14ac:dyDescent="0.4">
      <c r="A458" s="59"/>
      <c r="B458" s="60"/>
      <c r="C458" s="60"/>
      <c r="D458" s="60"/>
      <c r="E458" s="60"/>
      <c r="F458" s="60"/>
      <c r="G458" s="60"/>
      <c r="H458" s="60"/>
      <c r="I458" s="60"/>
      <c r="J458" s="60"/>
      <c r="K458" s="60"/>
      <c r="L458" s="61"/>
    </row>
    <row r="459" spans="1:12" x14ac:dyDescent="0.4">
      <c r="A459" s="54">
        <v>0</v>
      </c>
      <c r="B459" s="55">
        <v>58</v>
      </c>
      <c r="C459" s="55">
        <v>34</v>
      </c>
      <c r="D459" s="55">
        <v>36</v>
      </c>
      <c r="E459" s="55">
        <v>9</v>
      </c>
      <c r="F459" s="55">
        <v>0</v>
      </c>
      <c r="G459" s="55">
        <v>864</v>
      </c>
      <c r="H459" s="55">
        <v>1</v>
      </c>
      <c r="I459" s="55">
        <v>100</v>
      </c>
      <c r="J459" s="55">
        <v>30</v>
      </c>
      <c r="K459" s="55">
        <v>40</v>
      </c>
      <c r="L459" s="56">
        <v>30</v>
      </c>
    </row>
    <row r="460" spans="1:12" x14ac:dyDescent="0.4">
      <c r="A460" s="57" t="s">
        <v>134</v>
      </c>
      <c r="B460" s="62">
        <v>2</v>
      </c>
      <c r="C460" s="62"/>
      <c r="D460" s="62"/>
      <c r="E460" s="62"/>
      <c r="F460" s="62"/>
      <c r="G460" s="62"/>
      <c r="H460" s="62"/>
      <c r="I460" s="62"/>
      <c r="J460" s="62">
        <v>1</v>
      </c>
      <c r="K460" s="62">
        <v>5</v>
      </c>
      <c r="L460" s="58">
        <v>9</v>
      </c>
    </row>
    <row r="461" spans="1:12" x14ac:dyDescent="0.4">
      <c r="A461" s="57" t="s">
        <v>141</v>
      </c>
      <c r="B461" s="62">
        <v>2</v>
      </c>
      <c r="C461" s="62">
        <v>1</v>
      </c>
      <c r="D461" s="62">
        <v>2</v>
      </c>
      <c r="E461" s="62">
        <v>1</v>
      </c>
      <c r="F461" s="62">
        <v>0</v>
      </c>
      <c r="G461" s="62">
        <v>0</v>
      </c>
      <c r="H461" s="62"/>
      <c r="I461" s="62"/>
      <c r="J461" s="62"/>
      <c r="K461" s="62"/>
      <c r="L461" s="58"/>
    </row>
    <row r="462" spans="1:12" x14ac:dyDescent="0.4">
      <c r="A462" s="57" t="s">
        <v>142</v>
      </c>
      <c r="B462" s="62">
        <v>7</v>
      </c>
      <c r="C462" s="62">
        <v>3</v>
      </c>
      <c r="D462" s="62">
        <v>9</v>
      </c>
      <c r="E462" s="62">
        <v>1</v>
      </c>
      <c r="F462" s="62">
        <v>0</v>
      </c>
      <c r="G462" s="62">
        <v>0</v>
      </c>
      <c r="H462" s="62"/>
      <c r="I462" s="62"/>
      <c r="J462" s="62"/>
      <c r="K462" s="62"/>
      <c r="L462" s="58"/>
    </row>
    <row r="463" spans="1:12" x14ac:dyDescent="0.4">
      <c r="A463" s="57" t="s">
        <v>143</v>
      </c>
      <c r="B463" s="62">
        <v>0</v>
      </c>
      <c r="C463" s="62">
        <v>0</v>
      </c>
      <c r="D463" s="62">
        <v>0</v>
      </c>
      <c r="E463" s="62">
        <v>0</v>
      </c>
      <c r="F463" s="62">
        <v>0</v>
      </c>
      <c r="G463" s="62">
        <v>0</v>
      </c>
      <c r="H463" s="62"/>
      <c r="I463" s="62"/>
      <c r="J463" s="62"/>
      <c r="K463" s="62"/>
      <c r="L463" s="58"/>
    </row>
    <row r="464" spans="1:12" x14ac:dyDescent="0.4">
      <c r="A464" s="57" t="s">
        <v>144</v>
      </c>
      <c r="B464" s="62">
        <v>0</v>
      </c>
      <c r="C464" s="62">
        <v>0</v>
      </c>
      <c r="D464" s="62">
        <v>0</v>
      </c>
      <c r="E464" s="62">
        <v>0</v>
      </c>
      <c r="F464" s="62">
        <v>0</v>
      </c>
      <c r="G464" s="62">
        <v>0</v>
      </c>
      <c r="H464" s="62"/>
      <c r="I464" s="62"/>
      <c r="J464" s="62"/>
      <c r="K464" s="62"/>
      <c r="L464" s="58"/>
    </row>
    <row r="465" spans="1:12" x14ac:dyDescent="0.4">
      <c r="A465" s="57"/>
      <c r="B465" s="62"/>
      <c r="C465" s="62"/>
      <c r="D465" s="62"/>
      <c r="E465" s="62"/>
      <c r="F465" s="62"/>
      <c r="G465" s="62"/>
      <c r="H465" s="62"/>
      <c r="I465" s="62"/>
      <c r="J465" s="62"/>
      <c r="K465" s="62"/>
      <c r="L465" s="58"/>
    </row>
    <row r="466" spans="1:12" x14ac:dyDescent="0.4">
      <c r="A466" s="59"/>
      <c r="B466" s="60"/>
      <c r="C466" s="60"/>
      <c r="D466" s="60"/>
      <c r="E466" s="60"/>
      <c r="F466" s="60"/>
      <c r="G466" s="60"/>
      <c r="H466" s="60"/>
      <c r="I466" s="60"/>
      <c r="J466" s="60"/>
      <c r="K466" s="60"/>
      <c r="L466" s="61"/>
    </row>
    <row r="467" spans="1:12" x14ac:dyDescent="0.4">
      <c r="A467" s="54">
        <v>0</v>
      </c>
      <c r="B467" s="55">
        <v>59</v>
      </c>
      <c r="C467" s="55">
        <v>34</v>
      </c>
      <c r="D467" s="55">
        <v>37</v>
      </c>
      <c r="E467" s="55">
        <v>3</v>
      </c>
      <c r="F467" s="55">
        <v>0</v>
      </c>
      <c r="G467" s="55">
        <v>222</v>
      </c>
      <c r="H467" s="55">
        <v>1</v>
      </c>
      <c r="I467" s="55">
        <v>100</v>
      </c>
      <c r="J467" s="55">
        <v>30</v>
      </c>
      <c r="K467" s="55">
        <v>70</v>
      </c>
      <c r="L467" s="56"/>
    </row>
    <row r="468" spans="1:12" x14ac:dyDescent="0.4">
      <c r="A468" s="57" t="s">
        <v>134</v>
      </c>
      <c r="B468" s="62">
        <v>1</v>
      </c>
      <c r="C468" s="62"/>
      <c r="D468" s="62"/>
      <c r="E468" s="62"/>
      <c r="F468" s="62"/>
      <c r="G468" s="62"/>
      <c r="H468" s="62"/>
      <c r="I468" s="62"/>
      <c r="J468" s="62">
        <v>1</v>
      </c>
      <c r="K468" s="62">
        <v>3</v>
      </c>
      <c r="L468" s="58">
        <v>0</v>
      </c>
    </row>
    <row r="469" spans="1:12" x14ac:dyDescent="0.4">
      <c r="A469" s="57" t="s">
        <v>141</v>
      </c>
      <c r="B469" s="62">
        <v>3</v>
      </c>
      <c r="C469" s="62">
        <v>1</v>
      </c>
      <c r="D469" s="62">
        <v>3</v>
      </c>
      <c r="E469" s="62">
        <v>0</v>
      </c>
      <c r="F469" s="62">
        <v>1</v>
      </c>
      <c r="G469" s="62">
        <v>0</v>
      </c>
      <c r="H469" s="62"/>
      <c r="I469" s="62"/>
      <c r="J469" s="62"/>
      <c r="K469" s="62"/>
      <c r="L469" s="58"/>
    </row>
    <row r="470" spans="1:12" x14ac:dyDescent="0.4">
      <c r="A470" s="57" t="s">
        <v>142</v>
      </c>
      <c r="B470" s="62">
        <v>0</v>
      </c>
      <c r="C470" s="62">
        <v>0</v>
      </c>
      <c r="D470" s="62">
        <v>0</v>
      </c>
      <c r="E470" s="62">
        <v>0</v>
      </c>
      <c r="F470" s="62">
        <v>0</v>
      </c>
      <c r="G470" s="62">
        <v>0</v>
      </c>
      <c r="H470" s="62"/>
      <c r="I470" s="62"/>
      <c r="J470" s="62"/>
      <c r="K470" s="62"/>
      <c r="L470" s="58"/>
    </row>
    <row r="471" spans="1:12" x14ac:dyDescent="0.4">
      <c r="A471" s="57" t="s">
        <v>143</v>
      </c>
      <c r="B471" s="62">
        <v>0</v>
      </c>
      <c r="C471" s="62">
        <v>0</v>
      </c>
      <c r="D471" s="62">
        <v>0</v>
      </c>
      <c r="E471" s="62">
        <v>0</v>
      </c>
      <c r="F471" s="62">
        <v>0</v>
      </c>
      <c r="G471" s="62">
        <v>0</v>
      </c>
      <c r="H471" s="62"/>
      <c r="I471" s="62"/>
      <c r="J471" s="62"/>
      <c r="K471" s="62"/>
      <c r="L471" s="58"/>
    </row>
    <row r="472" spans="1:12" x14ac:dyDescent="0.4">
      <c r="A472" s="57" t="s">
        <v>144</v>
      </c>
      <c r="B472" s="62">
        <v>0</v>
      </c>
      <c r="C472" s="62">
        <v>0</v>
      </c>
      <c r="D472" s="62">
        <v>0</v>
      </c>
      <c r="E472" s="62">
        <v>0</v>
      </c>
      <c r="F472" s="62">
        <v>0</v>
      </c>
      <c r="G472" s="62">
        <v>0</v>
      </c>
      <c r="H472" s="62"/>
      <c r="I472" s="62"/>
      <c r="J472" s="62"/>
      <c r="K472" s="62"/>
      <c r="L472" s="58"/>
    </row>
    <row r="473" spans="1:12" x14ac:dyDescent="0.4">
      <c r="A473" s="57"/>
      <c r="B473" s="62"/>
      <c r="C473" s="62"/>
      <c r="D473" s="62"/>
      <c r="E473" s="62"/>
      <c r="F473" s="62"/>
      <c r="G473" s="62"/>
      <c r="H473" s="62"/>
      <c r="I473" s="62"/>
      <c r="J473" s="62"/>
      <c r="K473" s="62"/>
      <c r="L473" s="58"/>
    </row>
    <row r="474" spans="1:12" x14ac:dyDescent="0.4">
      <c r="A474" s="59"/>
      <c r="B474" s="60"/>
      <c r="C474" s="60"/>
      <c r="D474" s="60"/>
      <c r="E474" s="60"/>
      <c r="F474" s="60"/>
      <c r="G474" s="60"/>
      <c r="H474" s="60"/>
      <c r="I474" s="60"/>
      <c r="J474" s="60"/>
      <c r="K474" s="60"/>
      <c r="L474" s="61"/>
    </row>
    <row r="475" spans="1:12" x14ac:dyDescent="0.4">
      <c r="A475" s="54">
        <v>0</v>
      </c>
      <c r="B475" s="55">
        <v>60</v>
      </c>
      <c r="C475" s="55">
        <v>35</v>
      </c>
      <c r="D475" s="55">
        <v>35</v>
      </c>
      <c r="E475" s="55">
        <v>6</v>
      </c>
      <c r="F475" s="55">
        <v>0</v>
      </c>
      <c r="G475" s="55">
        <v>288</v>
      </c>
      <c r="H475" s="55">
        <v>1</v>
      </c>
      <c r="I475" s="55">
        <v>100</v>
      </c>
      <c r="J475" s="55">
        <v>30</v>
      </c>
      <c r="K475" s="55">
        <v>30</v>
      </c>
      <c r="L475" s="56">
        <v>40</v>
      </c>
    </row>
    <row r="476" spans="1:12" x14ac:dyDescent="0.4">
      <c r="A476" s="57" t="s">
        <v>134</v>
      </c>
      <c r="B476" s="62">
        <v>2</v>
      </c>
      <c r="C476" s="62"/>
      <c r="D476" s="62"/>
      <c r="E476" s="62"/>
      <c r="F476" s="62"/>
      <c r="G476" s="62"/>
      <c r="H476" s="62"/>
      <c r="I476" s="62"/>
      <c r="J476" s="62">
        <v>1</v>
      </c>
      <c r="K476" s="62">
        <v>3</v>
      </c>
      <c r="L476" s="58">
        <v>6</v>
      </c>
    </row>
    <row r="477" spans="1:12" x14ac:dyDescent="0.4">
      <c r="A477" s="57" t="s">
        <v>141</v>
      </c>
      <c r="B477" s="62">
        <v>2</v>
      </c>
      <c r="C477" s="62">
        <v>1</v>
      </c>
      <c r="D477" s="62">
        <v>2</v>
      </c>
      <c r="E477" s="62">
        <v>0</v>
      </c>
      <c r="F477" s="62">
        <v>0</v>
      </c>
      <c r="G477" s="62">
        <v>1</v>
      </c>
      <c r="H477" s="62"/>
      <c r="I477" s="62"/>
      <c r="J477" s="62"/>
      <c r="K477" s="62"/>
      <c r="L477" s="58"/>
    </row>
    <row r="478" spans="1:12" x14ac:dyDescent="0.4">
      <c r="A478" s="57" t="s">
        <v>142</v>
      </c>
      <c r="B478" s="62">
        <v>4</v>
      </c>
      <c r="C478" s="62">
        <v>3</v>
      </c>
      <c r="D478" s="62">
        <v>6</v>
      </c>
      <c r="E478" s="62">
        <v>0</v>
      </c>
      <c r="F478" s="62">
        <v>0</v>
      </c>
      <c r="G478" s="62">
        <v>1</v>
      </c>
      <c r="H478" s="62"/>
      <c r="I478" s="62"/>
      <c r="J478" s="62"/>
      <c r="K478" s="62"/>
      <c r="L478" s="58"/>
    </row>
    <row r="479" spans="1:12" x14ac:dyDescent="0.4">
      <c r="A479" s="57" t="s">
        <v>143</v>
      </c>
      <c r="B479" s="62">
        <v>0</v>
      </c>
      <c r="C479" s="62">
        <v>0</v>
      </c>
      <c r="D479" s="62">
        <v>0</v>
      </c>
      <c r="E479" s="62">
        <v>0</v>
      </c>
      <c r="F479" s="62">
        <v>0</v>
      </c>
      <c r="G479" s="62">
        <v>0</v>
      </c>
      <c r="H479" s="62"/>
      <c r="I479" s="62"/>
      <c r="J479" s="62"/>
      <c r="K479" s="62"/>
      <c r="L479" s="58"/>
    </row>
    <row r="480" spans="1:12" x14ac:dyDescent="0.4">
      <c r="A480" s="57" t="s">
        <v>144</v>
      </c>
      <c r="B480" s="62">
        <v>0</v>
      </c>
      <c r="C480" s="62">
        <v>0</v>
      </c>
      <c r="D480" s="62">
        <v>0</v>
      </c>
      <c r="E480" s="62">
        <v>0</v>
      </c>
      <c r="F480" s="62">
        <v>0</v>
      </c>
      <c r="G480" s="62">
        <v>0</v>
      </c>
      <c r="H480" s="62"/>
      <c r="I480" s="62"/>
      <c r="J480" s="62"/>
      <c r="K480" s="62"/>
      <c r="L480" s="58"/>
    </row>
    <row r="481" spans="1:12" x14ac:dyDescent="0.4">
      <c r="A481" s="57"/>
      <c r="B481" s="62"/>
      <c r="C481" s="62"/>
      <c r="D481" s="62"/>
      <c r="E481" s="62"/>
      <c r="F481" s="62"/>
      <c r="G481" s="62"/>
      <c r="H481" s="62"/>
      <c r="I481" s="62"/>
      <c r="J481" s="62"/>
      <c r="K481" s="62"/>
      <c r="L481" s="58"/>
    </row>
    <row r="482" spans="1:12" x14ac:dyDescent="0.4">
      <c r="A482" s="59"/>
      <c r="B482" s="60"/>
      <c r="C482" s="60"/>
      <c r="D482" s="60"/>
      <c r="E482" s="60"/>
      <c r="F482" s="60"/>
      <c r="G482" s="60"/>
      <c r="H482" s="60"/>
      <c r="I482" s="60"/>
      <c r="J482" s="60"/>
      <c r="K482" s="60"/>
      <c r="L482" s="61"/>
    </row>
    <row r="483" spans="1:12" x14ac:dyDescent="0.4">
      <c r="A483" s="54">
        <v>0</v>
      </c>
      <c r="B483" s="55">
        <v>61</v>
      </c>
      <c r="C483" s="55">
        <v>35</v>
      </c>
      <c r="D483" s="55">
        <v>37</v>
      </c>
      <c r="E483" s="55">
        <v>2</v>
      </c>
      <c r="F483" s="55">
        <v>0</v>
      </c>
      <c r="G483" s="55">
        <v>96</v>
      </c>
      <c r="H483" s="55">
        <v>1</v>
      </c>
      <c r="I483" s="55">
        <v>100</v>
      </c>
      <c r="J483" s="55">
        <v>50</v>
      </c>
      <c r="K483" s="55">
        <v>50</v>
      </c>
      <c r="L483" s="56"/>
    </row>
    <row r="484" spans="1:12" x14ac:dyDescent="0.4">
      <c r="A484" s="57" t="s">
        <v>134</v>
      </c>
      <c r="B484" s="62">
        <v>1</v>
      </c>
      <c r="C484" s="62"/>
      <c r="D484" s="62"/>
      <c r="E484" s="62"/>
      <c r="F484" s="62"/>
      <c r="G484" s="62"/>
      <c r="H484" s="62"/>
      <c r="I484" s="62"/>
      <c r="J484" s="62">
        <v>1</v>
      </c>
      <c r="K484" s="62">
        <v>2</v>
      </c>
      <c r="L484" s="58">
        <v>0</v>
      </c>
    </row>
    <row r="485" spans="1:12" x14ac:dyDescent="0.4">
      <c r="A485" s="57" t="s">
        <v>141</v>
      </c>
      <c r="B485" s="62">
        <v>2</v>
      </c>
      <c r="C485" s="62">
        <v>1</v>
      </c>
      <c r="D485" s="62">
        <v>2</v>
      </c>
      <c r="E485" s="62">
        <v>0</v>
      </c>
      <c r="F485" s="62">
        <v>0</v>
      </c>
      <c r="G485" s="62">
        <v>1</v>
      </c>
      <c r="H485" s="62"/>
      <c r="I485" s="62"/>
      <c r="J485" s="62"/>
      <c r="K485" s="62"/>
      <c r="L485" s="58"/>
    </row>
    <row r="486" spans="1:12" x14ac:dyDescent="0.4">
      <c r="A486" s="57" t="s">
        <v>142</v>
      </c>
      <c r="B486" s="62">
        <v>0</v>
      </c>
      <c r="C486" s="62">
        <v>0</v>
      </c>
      <c r="D486" s="62">
        <v>0</v>
      </c>
      <c r="E486" s="62">
        <v>0</v>
      </c>
      <c r="F486" s="62">
        <v>0</v>
      </c>
      <c r="G486" s="62">
        <v>0</v>
      </c>
      <c r="H486" s="62"/>
      <c r="I486" s="62"/>
      <c r="J486" s="62"/>
      <c r="K486" s="62"/>
      <c r="L486" s="58"/>
    </row>
    <row r="487" spans="1:12" x14ac:dyDescent="0.4">
      <c r="A487" s="57" t="s">
        <v>143</v>
      </c>
      <c r="B487" s="62">
        <v>0</v>
      </c>
      <c r="C487" s="62">
        <v>0</v>
      </c>
      <c r="D487" s="62">
        <v>0</v>
      </c>
      <c r="E487" s="62">
        <v>0</v>
      </c>
      <c r="F487" s="62">
        <v>0</v>
      </c>
      <c r="G487" s="62">
        <v>0</v>
      </c>
      <c r="H487" s="62"/>
      <c r="I487" s="62"/>
      <c r="J487" s="62"/>
      <c r="K487" s="62"/>
      <c r="L487" s="58"/>
    </row>
    <row r="488" spans="1:12" x14ac:dyDescent="0.4">
      <c r="A488" s="57" t="s">
        <v>144</v>
      </c>
      <c r="B488" s="62">
        <v>0</v>
      </c>
      <c r="C488" s="62">
        <v>0</v>
      </c>
      <c r="D488" s="62">
        <v>0</v>
      </c>
      <c r="E488" s="62">
        <v>0</v>
      </c>
      <c r="F488" s="62">
        <v>0</v>
      </c>
      <c r="G488" s="62">
        <v>0</v>
      </c>
      <c r="H488" s="62"/>
      <c r="I488" s="62"/>
      <c r="J488" s="62"/>
      <c r="K488" s="62"/>
      <c r="L488" s="58"/>
    </row>
    <row r="489" spans="1:12" x14ac:dyDescent="0.4">
      <c r="A489" s="57"/>
      <c r="B489" s="62"/>
      <c r="C489" s="62"/>
      <c r="D489" s="62"/>
      <c r="E489" s="62"/>
      <c r="F489" s="62"/>
      <c r="G489" s="62"/>
      <c r="H489" s="62"/>
      <c r="I489" s="62"/>
      <c r="J489" s="62"/>
      <c r="K489" s="62"/>
      <c r="L489" s="58"/>
    </row>
    <row r="490" spans="1:12" x14ac:dyDescent="0.4">
      <c r="A490" s="59"/>
      <c r="B490" s="60"/>
      <c r="C490" s="60"/>
      <c r="D490" s="60"/>
      <c r="E490" s="60"/>
      <c r="F490" s="60"/>
      <c r="G490" s="60"/>
      <c r="H490" s="60"/>
      <c r="I490" s="60"/>
      <c r="J490" s="60"/>
      <c r="K490" s="60"/>
      <c r="L490" s="61"/>
    </row>
    <row r="491" spans="1:12" x14ac:dyDescent="0.4">
      <c r="A491" s="54">
        <v>0</v>
      </c>
      <c r="B491" s="55">
        <v>62</v>
      </c>
      <c r="C491" s="55">
        <v>36</v>
      </c>
      <c r="D491" s="55">
        <v>36</v>
      </c>
      <c r="E491" s="55">
        <v>23</v>
      </c>
      <c r="F491" s="55">
        <v>0</v>
      </c>
      <c r="G491" s="55">
        <v>2948</v>
      </c>
      <c r="H491" s="55">
        <v>1</v>
      </c>
      <c r="I491" s="55">
        <v>100</v>
      </c>
      <c r="J491" s="55">
        <v>30</v>
      </c>
      <c r="K491" s="55">
        <v>40</v>
      </c>
      <c r="L491" s="56">
        <v>30</v>
      </c>
    </row>
    <row r="492" spans="1:12" x14ac:dyDescent="0.4">
      <c r="A492" s="57" t="s">
        <v>134</v>
      </c>
      <c r="B492" s="62">
        <v>4</v>
      </c>
      <c r="C492" s="62"/>
      <c r="D492" s="62"/>
      <c r="E492" s="62"/>
      <c r="F492" s="62"/>
      <c r="G492" s="62"/>
      <c r="H492" s="62"/>
      <c r="I492" s="62"/>
      <c r="J492" s="62">
        <v>1</v>
      </c>
      <c r="K492" s="62">
        <v>12</v>
      </c>
      <c r="L492" s="58">
        <v>23</v>
      </c>
    </row>
    <row r="493" spans="1:12" x14ac:dyDescent="0.4">
      <c r="A493" s="57" t="s">
        <v>141</v>
      </c>
      <c r="B493" s="62">
        <v>5</v>
      </c>
      <c r="C493" s="62">
        <v>1</v>
      </c>
      <c r="D493" s="62">
        <v>5</v>
      </c>
      <c r="E493" s="62">
        <v>0</v>
      </c>
      <c r="F493" s="62">
        <v>1</v>
      </c>
      <c r="G493" s="62">
        <v>0</v>
      </c>
      <c r="H493" s="62"/>
      <c r="I493" s="62"/>
      <c r="J493" s="62"/>
      <c r="K493" s="62"/>
      <c r="L493" s="58"/>
    </row>
    <row r="494" spans="1:12" x14ac:dyDescent="0.4">
      <c r="A494" s="57" t="s">
        <v>142</v>
      </c>
      <c r="B494" s="62">
        <v>18</v>
      </c>
      <c r="C494" s="62">
        <v>6</v>
      </c>
      <c r="D494" s="62">
        <v>23</v>
      </c>
      <c r="E494" s="62">
        <v>1</v>
      </c>
      <c r="F494" s="62">
        <v>0</v>
      </c>
      <c r="G494" s="62">
        <v>0</v>
      </c>
      <c r="H494" s="62"/>
      <c r="I494" s="62"/>
      <c r="J494" s="62"/>
      <c r="K494" s="62"/>
      <c r="L494" s="58"/>
    </row>
    <row r="495" spans="1:12" x14ac:dyDescent="0.4">
      <c r="A495" s="57" t="s">
        <v>143</v>
      </c>
      <c r="B495" s="62">
        <v>5</v>
      </c>
      <c r="C495" s="62">
        <v>18</v>
      </c>
      <c r="D495" s="62">
        <v>23</v>
      </c>
      <c r="E495" s="62">
        <v>1</v>
      </c>
      <c r="F495" s="62">
        <v>0</v>
      </c>
      <c r="G495" s="62">
        <v>0</v>
      </c>
      <c r="H495" s="62"/>
      <c r="I495" s="62"/>
      <c r="J495" s="62"/>
      <c r="K495" s="62"/>
      <c r="L495" s="58"/>
    </row>
    <row r="496" spans="1:12" x14ac:dyDescent="0.4">
      <c r="A496" s="57" t="s">
        <v>144</v>
      </c>
      <c r="B496" s="62">
        <v>5</v>
      </c>
      <c r="C496" s="62">
        <v>12</v>
      </c>
      <c r="D496" s="62">
        <v>17</v>
      </c>
      <c r="E496" s="62">
        <v>0</v>
      </c>
      <c r="F496" s="62">
        <v>1</v>
      </c>
      <c r="G496" s="62">
        <v>0</v>
      </c>
      <c r="H496" s="62"/>
      <c r="I496" s="62"/>
      <c r="J496" s="62"/>
      <c r="K496" s="62"/>
      <c r="L496" s="58"/>
    </row>
    <row r="497" spans="1:12" x14ac:dyDescent="0.4">
      <c r="A497" s="57"/>
      <c r="B497" s="62"/>
      <c r="C497" s="62"/>
      <c r="D497" s="62"/>
      <c r="E497" s="62"/>
      <c r="F497" s="62"/>
      <c r="G497" s="62"/>
      <c r="H497" s="62"/>
      <c r="I497" s="62"/>
      <c r="J497" s="62"/>
      <c r="K497" s="62"/>
      <c r="L497" s="58"/>
    </row>
    <row r="498" spans="1:12" x14ac:dyDescent="0.4">
      <c r="A498" s="59"/>
      <c r="B498" s="60"/>
      <c r="C498" s="60"/>
      <c r="D498" s="60"/>
      <c r="E498" s="60"/>
      <c r="F498" s="60"/>
      <c r="G498" s="60"/>
      <c r="H498" s="60"/>
      <c r="I498" s="60"/>
      <c r="J498" s="60"/>
      <c r="K498" s="60"/>
      <c r="L498" s="61"/>
    </row>
    <row r="499" spans="1:12" x14ac:dyDescent="0.4">
      <c r="A499" s="54">
        <v>0</v>
      </c>
      <c r="B499" s="55">
        <v>63</v>
      </c>
      <c r="C499" s="55">
        <v>36</v>
      </c>
      <c r="D499" s="55">
        <v>39</v>
      </c>
      <c r="E499" s="55">
        <v>4</v>
      </c>
      <c r="F499" s="55">
        <v>0</v>
      </c>
      <c r="G499" s="55">
        <v>296</v>
      </c>
      <c r="H499" s="55">
        <v>1</v>
      </c>
      <c r="I499" s="55">
        <v>100</v>
      </c>
      <c r="J499" s="55">
        <v>40</v>
      </c>
      <c r="K499" s="55">
        <v>60</v>
      </c>
      <c r="L499" s="56"/>
    </row>
    <row r="500" spans="1:12" x14ac:dyDescent="0.4">
      <c r="A500" s="57" t="s">
        <v>134</v>
      </c>
      <c r="B500" s="62">
        <v>1</v>
      </c>
      <c r="C500" s="62"/>
      <c r="D500" s="62"/>
      <c r="E500" s="62"/>
      <c r="F500" s="62"/>
      <c r="G500" s="62"/>
      <c r="H500" s="62"/>
      <c r="I500" s="62"/>
      <c r="J500" s="62">
        <v>1</v>
      </c>
      <c r="K500" s="62">
        <v>4</v>
      </c>
      <c r="L500" s="58">
        <v>0</v>
      </c>
    </row>
    <row r="501" spans="1:12" x14ac:dyDescent="0.4">
      <c r="A501" s="57" t="s">
        <v>141</v>
      </c>
      <c r="B501" s="62">
        <v>4</v>
      </c>
      <c r="C501" s="62">
        <v>1</v>
      </c>
      <c r="D501" s="62">
        <v>4</v>
      </c>
      <c r="E501" s="62">
        <v>0</v>
      </c>
      <c r="F501" s="62">
        <v>1</v>
      </c>
      <c r="G501" s="62">
        <v>0</v>
      </c>
      <c r="H501" s="62"/>
      <c r="I501" s="62"/>
      <c r="J501" s="62"/>
      <c r="K501" s="62"/>
      <c r="L501" s="58"/>
    </row>
    <row r="502" spans="1:12" x14ac:dyDescent="0.4">
      <c r="A502" s="57" t="s">
        <v>142</v>
      </c>
      <c r="B502" s="62">
        <v>0</v>
      </c>
      <c r="C502" s="62">
        <v>0</v>
      </c>
      <c r="D502" s="62">
        <v>0</v>
      </c>
      <c r="E502" s="62">
        <v>0</v>
      </c>
      <c r="F502" s="62">
        <v>0</v>
      </c>
      <c r="G502" s="62">
        <v>0</v>
      </c>
      <c r="H502" s="62"/>
      <c r="I502" s="62"/>
      <c r="J502" s="62"/>
      <c r="K502" s="62"/>
      <c r="L502" s="58"/>
    </row>
    <row r="503" spans="1:12" x14ac:dyDescent="0.4">
      <c r="A503" s="57" t="s">
        <v>143</v>
      </c>
      <c r="B503" s="62">
        <v>0</v>
      </c>
      <c r="C503" s="62">
        <v>0</v>
      </c>
      <c r="D503" s="62">
        <v>0</v>
      </c>
      <c r="E503" s="62">
        <v>0</v>
      </c>
      <c r="F503" s="62">
        <v>0</v>
      </c>
      <c r="G503" s="62">
        <v>0</v>
      </c>
      <c r="H503" s="62"/>
      <c r="I503" s="62"/>
      <c r="J503" s="62"/>
      <c r="K503" s="62"/>
      <c r="L503" s="58"/>
    </row>
    <row r="504" spans="1:12" x14ac:dyDescent="0.4">
      <c r="A504" s="57" t="s">
        <v>144</v>
      </c>
      <c r="B504" s="62">
        <v>0</v>
      </c>
      <c r="C504" s="62">
        <v>0</v>
      </c>
      <c r="D504" s="62">
        <v>0</v>
      </c>
      <c r="E504" s="62">
        <v>0</v>
      </c>
      <c r="F504" s="62">
        <v>0</v>
      </c>
      <c r="G504" s="62">
        <v>0</v>
      </c>
      <c r="H504" s="62"/>
      <c r="I504" s="62"/>
      <c r="J504" s="62"/>
      <c r="K504" s="62"/>
      <c r="L504" s="58"/>
    </row>
    <row r="505" spans="1:12" x14ac:dyDescent="0.4">
      <c r="A505" s="57"/>
      <c r="B505" s="62"/>
      <c r="C505" s="62"/>
      <c r="D505" s="62"/>
      <c r="E505" s="62"/>
      <c r="F505" s="62"/>
      <c r="G505" s="62"/>
      <c r="H505" s="62"/>
      <c r="I505" s="62"/>
      <c r="J505" s="62"/>
      <c r="K505" s="62"/>
      <c r="L505" s="58"/>
    </row>
    <row r="506" spans="1:12" x14ac:dyDescent="0.4">
      <c r="A506" s="59"/>
      <c r="B506" s="60"/>
      <c r="C506" s="60"/>
      <c r="D506" s="60"/>
      <c r="E506" s="60"/>
      <c r="F506" s="60"/>
      <c r="G506" s="60"/>
      <c r="H506" s="60"/>
      <c r="I506" s="60"/>
      <c r="J506" s="60"/>
      <c r="K506" s="60"/>
      <c r="L506" s="61"/>
    </row>
    <row r="507" spans="1:12" x14ac:dyDescent="0.4">
      <c r="A507" s="54">
        <v>0</v>
      </c>
      <c r="B507" s="55">
        <v>64</v>
      </c>
      <c r="C507" s="55">
        <v>36</v>
      </c>
      <c r="D507" s="55">
        <v>39</v>
      </c>
      <c r="E507" s="55">
        <v>44</v>
      </c>
      <c r="F507" s="55">
        <v>0</v>
      </c>
      <c r="G507" s="55">
        <v>4990</v>
      </c>
      <c r="H507" s="55">
        <v>1</v>
      </c>
      <c r="I507" s="55">
        <v>100</v>
      </c>
      <c r="J507" s="55">
        <v>30</v>
      </c>
      <c r="K507" s="55">
        <v>40</v>
      </c>
      <c r="L507" s="56">
        <v>30</v>
      </c>
    </row>
    <row r="508" spans="1:12" x14ac:dyDescent="0.4">
      <c r="A508" s="57" t="s">
        <v>134</v>
      </c>
      <c r="B508" s="62">
        <v>4</v>
      </c>
      <c r="C508" s="62"/>
      <c r="D508" s="62"/>
      <c r="E508" s="62"/>
      <c r="F508" s="62"/>
      <c r="G508" s="62"/>
      <c r="H508" s="62"/>
      <c r="I508" s="62"/>
      <c r="J508" s="62">
        <v>1</v>
      </c>
      <c r="K508" s="62">
        <v>22</v>
      </c>
      <c r="L508" s="58">
        <v>44</v>
      </c>
    </row>
    <row r="509" spans="1:12" x14ac:dyDescent="0.4">
      <c r="A509" s="57" t="s">
        <v>141</v>
      </c>
      <c r="B509" s="62">
        <v>10</v>
      </c>
      <c r="C509" s="62">
        <v>1</v>
      </c>
      <c r="D509" s="62">
        <v>10</v>
      </c>
      <c r="E509" s="62">
        <v>0</v>
      </c>
      <c r="F509" s="62">
        <v>0</v>
      </c>
      <c r="G509" s="62">
        <v>1</v>
      </c>
      <c r="H509" s="62"/>
      <c r="I509" s="62"/>
      <c r="J509" s="62"/>
      <c r="K509" s="62"/>
      <c r="L509" s="58"/>
    </row>
    <row r="510" spans="1:12" x14ac:dyDescent="0.4">
      <c r="A510" s="57" t="s">
        <v>142</v>
      </c>
      <c r="B510" s="62">
        <v>34</v>
      </c>
      <c r="C510" s="62">
        <v>11</v>
      </c>
      <c r="D510" s="62">
        <v>44</v>
      </c>
      <c r="E510" s="62">
        <v>1</v>
      </c>
      <c r="F510" s="62">
        <v>0</v>
      </c>
      <c r="G510" s="62">
        <v>0</v>
      </c>
      <c r="H510" s="62"/>
      <c r="I510" s="62"/>
      <c r="J510" s="62"/>
      <c r="K510" s="62"/>
      <c r="L510" s="58"/>
    </row>
    <row r="511" spans="1:12" x14ac:dyDescent="0.4">
      <c r="A511" s="57" t="s">
        <v>143</v>
      </c>
      <c r="B511" s="62">
        <v>11</v>
      </c>
      <c r="C511" s="62">
        <v>33</v>
      </c>
      <c r="D511" s="62">
        <v>44</v>
      </c>
      <c r="E511" s="62">
        <v>0</v>
      </c>
      <c r="F511" s="62">
        <v>1</v>
      </c>
      <c r="G511" s="62">
        <v>0</v>
      </c>
      <c r="H511" s="62"/>
      <c r="I511" s="62"/>
      <c r="J511" s="62"/>
      <c r="K511" s="62"/>
      <c r="L511" s="58"/>
    </row>
    <row r="512" spans="1:12" x14ac:dyDescent="0.4">
      <c r="A512" s="57" t="s">
        <v>144</v>
      </c>
      <c r="B512" s="62">
        <v>9</v>
      </c>
      <c r="C512" s="62">
        <v>23</v>
      </c>
      <c r="D512" s="62">
        <v>32</v>
      </c>
      <c r="E512" s="62">
        <v>0</v>
      </c>
      <c r="F512" s="62">
        <v>0</v>
      </c>
      <c r="G512" s="62">
        <v>1</v>
      </c>
      <c r="H512" s="62"/>
      <c r="I512" s="62"/>
      <c r="J512" s="62"/>
      <c r="K512" s="62"/>
      <c r="L512" s="58"/>
    </row>
    <row r="513" spans="1:12" x14ac:dyDescent="0.4">
      <c r="A513" s="57"/>
      <c r="B513" s="62"/>
      <c r="C513" s="62"/>
      <c r="D513" s="62"/>
      <c r="E513" s="62"/>
      <c r="F513" s="62"/>
      <c r="G513" s="62"/>
      <c r="H513" s="62"/>
      <c r="I513" s="62"/>
      <c r="J513" s="62"/>
      <c r="K513" s="62"/>
      <c r="L513" s="58"/>
    </row>
    <row r="514" spans="1:12" x14ac:dyDescent="0.4">
      <c r="A514" s="59"/>
      <c r="B514" s="60"/>
      <c r="C514" s="60"/>
      <c r="D514" s="60"/>
      <c r="E514" s="60"/>
      <c r="F514" s="60"/>
      <c r="G514" s="60"/>
      <c r="H514" s="60"/>
      <c r="I514" s="60"/>
      <c r="J514" s="60"/>
      <c r="K514" s="60"/>
      <c r="L514" s="61"/>
    </row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79D75-2AAE-4379-A13E-A01C9DF48178}">
  <sheetPr codeName="dashboard"/>
  <dimension ref="A1:AL39"/>
  <sheetViews>
    <sheetView zoomScale="130" zoomScaleNormal="130" workbookViewId="0">
      <selection activeCell="AS13" sqref="AS13"/>
    </sheetView>
  </sheetViews>
  <sheetFormatPr defaultColWidth="3.19921875" defaultRowHeight="17.399999999999999" x14ac:dyDescent="0.4"/>
  <cols>
    <col min="1" max="16384" width="3.19921875" style="38"/>
  </cols>
  <sheetData>
    <row r="1" spans="1:38" x14ac:dyDescent="0.4">
      <c r="A1" t="s">
        <v>148</v>
      </c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</row>
    <row r="2" spans="1:38" x14ac:dyDescent="0.4">
      <c r="A2" s="52" t="s">
        <v>113</v>
      </c>
      <c r="B2" s="52">
        <v>1</v>
      </c>
      <c r="C2" s="52">
        <v>2</v>
      </c>
      <c r="D2" s="52">
        <v>3</v>
      </c>
      <c r="E2" s="52">
        <v>4</v>
      </c>
      <c r="F2" s="52">
        <v>5</v>
      </c>
      <c r="G2" s="52">
        <v>6</v>
      </c>
      <c r="H2" s="52">
        <v>7</v>
      </c>
      <c r="I2" s="52">
        <v>8</v>
      </c>
      <c r="J2" s="52">
        <v>9</v>
      </c>
      <c r="K2" s="52">
        <v>10</v>
      </c>
      <c r="L2" s="52">
        <v>11</v>
      </c>
      <c r="M2" s="52">
        <v>12</v>
      </c>
      <c r="N2" s="52">
        <v>13</v>
      </c>
      <c r="O2" s="52">
        <v>14</v>
      </c>
      <c r="P2" s="52">
        <v>15</v>
      </c>
      <c r="Q2" s="52">
        <v>16</v>
      </c>
      <c r="R2" s="52">
        <v>17</v>
      </c>
      <c r="S2" s="52">
        <v>18</v>
      </c>
      <c r="T2" s="52">
        <v>19</v>
      </c>
      <c r="U2" s="52">
        <v>20</v>
      </c>
      <c r="V2" s="52">
        <v>21</v>
      </c>
      <c r="W2" s="52">
        <v>22</v>
      </c>
      <c r="X2" s="52">
        <v>23</v>
      </c>
      <c r="Y2" s="52">
        <v>24</v>
      </c>
      <c r="Z2" s="52">
        <v>25</v>
      </c>
      <c r="AA2" s="52">
        <v>26</v>
      </c>
      <c r="AB2" s="52">
        <v>27</v>
      </c>
      <c r="AC2" s="52">
        <v>28</v>
      </c>
      <c r="AD2" s="52">
        <v>29</v>
      </c>
      <c r="AE2" s="52">
        <v>30</v>
      </c>
      <c r="AF2" s="52">
        <v>31</v>
      </c>
      <c r="AG2" s="52">
        <v>32</v>
      </c>
      <c r="AH2" s="52">
        <v>33</v>
      </c>
      <c r="AI2" s="52">
        <v>34</v>
      </c>
      <c r="AJ2" s="52">
        <v>35</v>
      </c>
      <c r="AK2" s="52">
        <v>36</v>
      </c>
      <c r="AL2"/>
    </row>
    <row r="3" spans="1:38" x14ac:dyDescent="0.4">
      <c r="A3" s="52" t="s">
        <v>117</v>
      </c>
      <c r="B3" s="52">
        <v>0</v>
      </c>
      <c r="C3" s="52">
        <v>0</v>
      </c>
      <c r="D3" s="52">
        <v>1</v>
      </c>
      <c r="E3" s="52">
        <v>2</v>
      </c>
      <c r="F3" s="52">
        <v>3</v>
      </c>
      <c r="G3" s="52">
        <v>6</v>
      </c>
      <c r="H3" s="52">
        <v>7</v>
      </c>
      <c r="I3" s="52">
        <v>10</v>
      </c>
      <c r="J3" s="52">
        <v>11</v>
      </c>
      <c r="K3" s="52">
        <v>14</v>
      </c>
      <c r="L3" s="52">
        <v>16</v>
      </c>
      <c r="M3" s="52">
        <v>16</v>
      </c>
      <c r="N3" s="52">
        <v>18</v>
      </c>
      <c r="O3" s="52">
        <v>21</v>
      </c>
      <c r="P3" s="52">
        <v>23</v>
      </c>
      <c r="Q3" s="52">
        <v>26</v>
      </c>
      <c r="R3" s="52">
        <v>28</v>
      </c>
      <c r="S3" s="52">
        <v>29</v>
      </c>
      <c r="T3" s="52">
        <v>29</v>
      </c>
      <c r="U3" s="52">
        <v>32</v>
      </c>
      <c r="V3" s="52">
        <v>35</v>
      </c>
      <c r="W3" s="52">
        <v>38</v>
      </c>
      <c r="X3" s="52">
        <v>40</v>
      </c>
      <c r="Y3" s="52">
        <v>40</v>
      </c>
      <c r="Z3" s="52">
        <v>41</v>
      </c>
      <c r="AA3" s="52">
        <v>44</v>
      </c>
      <c r="AB3" s="52">
        <v>47</v>
      </c>
      <c r="AC3" s="52">
        <v>49</v>
      </c>
      <c r="AD3" s="52">
        <v>51</v>
      </c>
      <c r="AE3" s="52">
        <v>51</v>
      </c>
      <c r="AF3" s="52">
        <v>54</v>
      </c>
      <c r="AG3" s="52">
        <v>54</v>
      </c>
      <c r="AH3" s="52">
        <v>56</v>
      </c>
      <c r="AI3" s="52">
        <v>59</v>
      </c>
      <c r="AJ3" s="52">
        <v>61</v>
      </c>
      <c r="AK3" s="52">
        <v>64</v>
      </c>
      <c r="AL3"/>
    </row>
    <row r="4" spans="1:38" x14ac:dyDescent="0.4">
      <c r="A4" s="52" t="s">
        <v>118</v>
      </c>
      <c r="B4" s="52">
        <v>0</v>
      </c>
      <c r="C4" s="52">
        <v>0</v>
      </c>
      <c r="D4" s="52">
        <v>1</v>
      </c>
      <c r="E4" s="52">
        <v>1</v>
      </c>
      <c r="F4" s="52">
        <v>1</v>
      </c>
      <c r="G4" s="52">
        <v>3</v>
      </c>
      <c r="H4" s="52">
        <v>1</v>
      </c>
      <c r="I4" s="52">
        <v>3</v>
      </c>
      <c r="J4" s="52">
        <v>1</v>
      </c>
      <c r="K4" s="52">
        <v>3</v>
      </c>
      <c r="L4" s="52">
        <v>2</v>
      </c>
      <c r="M4" s="52">
        <v>0</v>
      </c>
      <c r="N4" s="52">
        <v>2</v>
      </c>
      <c r="O4" s="52">
        <v>3</v>
      </c>
      <c r="P4" s="52">
        <v>2</v>
      </c>
      <c r="Q4" s="52">
        <v>3</v>
      </c>
      <c r="R4" s="52">
        <v>2</v>
      </c>
      <c r="S4" s="52">
        <v>1</v>
      </c>
      <c r="T4" s="52">
        <v>0</v>
      </c>
      <c r="U4" s="52">
        <v>3</v>
      </c>
      <c r="V4" s="52">
        <v>3</v>
      </c>
      <c r="W4" s="52">
        <v>3</v>
      </c>
      <c r="X4" s="52">
        <v>2</v>
      </c>
      <c r="Y4" s="52">
        <v>0</v>
      </c>
      <c r="Z4" s="52">
        <v>1</v>
      </c>
      <c r="AA4" s="52">
        <v>3</v>
      </c>
      <c r="AB4" s="52">
        <v>3</v>
      </c>
      <c r="AC4" s="52">
        <v>2</v>
      </c>
      <c r="AD4" s="52">
        <v>2</v>
      </c>
      <c r="AE4" s="52">
        <v>0</v>
      </c>
      <c r="AF4" s="52">
        <v>3</v>
      </c>
      <c r="AG4" s="52">
        <v>0</v>
      </c>
      <c r="AH4" s="52">
        <v>2</v>
      </c>
      <c r="AI4" s="52">
        <v>3</v>
      </c>
      <c r="AJ4" s="52">
        <v>2</v>
      </c>
      <c r="AK4" s="52">
        <v>3</v>
      </c>
      <c r="AL4"/>
    </row>
    <row r="5" spans="1:38" x14ac:dyDescent="0.4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38" x14ac:dyDescent="0.4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38" x14ac:dyDescent="0.4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38" x14ac:dyDescent="0.4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38" x14ac:dyDescent="0.4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38" x14ac:dyDescent="0.4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38" x14ac:dyDescent="0.4">
      <c r="A11" t="s">
        <v>149</v>
      </c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x14ac:dyDescent="0.4">
      <c r="A12" s="52" t="s">
        <v>113</v>
      </c>
      <c r="B12" s="52">
        <v>1</v>
      </c>
      <c r="C12" s="52">
        <v>2</v>
      </c>
      <c r="D12" s="52">
        <v>3</v>
      </c>
      <c r="E12" s="52">
        <v>4</v>
      </c>
      <c r="F12" s="52">
        <v>5</v>
      </c>
      <c r="G12" s="52">
        <v>6</v>
      </c>
      <c r="H12" s="52">
        <v>7</v>
      </c>
      <c r="I12" s="52">
        <v>8</v>
      </c>
      <c r="J12" s="52">
        <v>9</v>
      </c>
      <c r="K12" s="52">
        <v>10</v>
      </c>
      <c r="L12" s="52">
        <v>11</v>
      </c>
      <c r="M12" s="52">
        <v>12</v>
      </c>
      <c r="N12" s="52">
        <v>13</v>
      </c>
      <c r="O12" s="52">
        <v>14</v>
      </c>
      <c r="P12" s="52">
        <v>15</v>
      </c>
      <c r="Q12" s="52">
        <v>16</v>
      </c>
      <c r="R12" s="52">
        <v>17</v>
      </c>
      <c r="S12" s="52">
        <v>18</v>
      </c>
      <c r="T12" s="52">
        <v>19</v>
      </c>
      <c r="U12" s="52">
        <v>20</v>
      </c>
      <c r="V12" s="52">
        <v>21</v>
      </c>
      <c r="W12" s="52">
        <v>22</v>
      </c>
      <c r="X12" s="52">
        <v>23</v>
      </c>
      <c r="Y12" s="52">
        <v>24</v>
      </c>
      <c r="Z12" s="52">
        <v>25</v>
      </c>
      <c r="AA12" s="52">
        <v>26</v>
      </c>
      <c r="AB12" s="52">
        <v>27</v>
      </c>
      <c r="AC12" s="52">
        <v>28</v>
      </c>
      <c r="AD12" s="52">
        <v>29</v>
      </c>
      <c r="AE12" s="52">
        <v>30</v>
      </c>
      <c r="AF12" s="52">
        <v>31</v>
      </c>
      <c r="AG12" s="52">
        <v>32</v>
      </c>
      <c r="AH12" s="52">
        <v>33</v>
      </c>
      <c r="AI12" s="52">
        <v>34</v>
      </c>
      <c r="AJ12" s="52">
        <v>35</v>
      </c>
      <c r="AK12" s="52">
        <v>36</v>
      </c>
      <c r="AL12"/>
    </row>
    <row r="13" spans="1:38" x14ac:dyDescent="0.4">
      <c r="A13" s="52" t="s">
        <v>150</v>
      </c>
      <c r="B13" s="52"/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52"/>
      <c r="AB13" s="52"/>
      <c r="AC13" s="52"/>
      <c r="AD13" s="52"/>
      <c r="AE13" s="52"/>
      <c r="AF13" s="52"/>
      <c r="AG13" s="52"/>
      <c r="AH13" s="52"/>
      <c r="AI13" s="52"/>
      <c r="AJ13" s="52"/>
      <c r="AK13" s="52"/>
      <c r="AL13"/>
    </row>
    <row r="14" spans="1:38" x14ac:dyDescent="0.4">
      <c r="A14" s="52" t="s">
        <v>151</v>
      </c>
      <c r="B14" s="52"/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52"/>
      <c r="AB14" s="52"/>
      <c r="AC14" s="52"/>
      <c r="AD14" s="52"/>
      <c r="AE14" s="52"/>
      <c r="AF14" s="52"/>
      <c r="AG14" s="52"/>
      <c r="AH14" s="52"/>
      <c r="AI14" s="52"/>
      <c r="AJ14" s="52"/>
      <c r="AK14" s="52"/>
      <c r="AL14"/>
    </row>
    <row r="15" spans="1:38" x14ac:dyDescent="0.4">
      <c r="A15" s="52"/>
      <c r="B15" s="52"/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/>
      <c r="AB15" s="52"/>
      <c r="AC15" s="52"/>
      <c r="AD15" s="52"/>
      <c r="AE15" s="52"/>
      <c r="AF15" s="52"/>
      <c r="AG15" s="52"/>
      <c r="AH15" s="52"/>
      <c r="AI15" s="52"/>
      <c r="AJ15" s="52"/>
      <c r="AK15" s="52"/>
      <c r="AL15"/>
    </row>
    <row r="16" spans="1:38" x14ac:dyDescent="0.4">
      <c r="A16" s="52"/>
      <c r="B16" s="52"/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52"/>
      <c r="AB16" s="52"/>
      <c r="AC16" s="52"/>
      <c r="AD16" s="52"/>
      <c r="AE16" s="52"/>
      <c r="AF16" s="52"/>
      <c r="AG16" s="52"/>
      <c r="AH16" s="52"/>
      <c r="AI16" s="52"/>
      <c r="AJ16" s="52"/>
      <c r="AK16" s="52"/>
      <c r="AL16"/>
    </row>
    <row r="17" spans="1:38" x14ac:dyDescent="0.4">
      <c r="A17" s="52"/>
      <c r="B17" s="52"/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/>
      <c r="AB17" s="52"/>
      <c r="AC17" s="52"/>
      <c r="AD17" s="52"/>
      <c r="AE17" s="52"/>
      <c r="AF17" s="52"/>
      <c r="AG17" s="52"/>
      <c r="AH17" s="52"/>
      <c r="AI17" s="52"/>
      <c r="AJ17" s="52"/>
      <c r="AK17" s="52"/>
      <c r="AL17"/>
    </row>
    <row r="18" spans="1:38" x14ac:dyDescent="0.4">
      <c r="A18" s="52"/>
      <c r="B18" s="52"/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/>
      <c r="AB18" s="52"/>
      <c r="AC18" s="52"/>
      <c r="AD18" s="52"/>
      <c r="AE18" s="52"/>
      <c r="AF18" s="52"/>
      <c r="AG18" s="52"/>
      <c r="AH18" s="52"/>
      <c r="AI18" s="52"/>
      <c r="AJ18" s="52"/>
      <c r="AK18" s="52"/>
      <c r="AL18"/>
    </row>
    <row r="19" spans="1:38" x14ac:dyDescent="0.4">
      <c r="A19" s="52"/>
      <c r="B19" s="52"/>
      <c r="C19" s="52"/>
      <c r="D19" s="52"/>
      <c r="E19" s="52"/>
      <c r="F19" s="52"/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52"/>
      <c r="AB19" s="52"/>
      <c r="AC19" s="52"/>
      <c r="AD19" s="52"/>
      <c r="AE19" s="52"/>
      <c r="AF19" s="52"/>
      <c r="AG19" s="52"/>
      <c r="AH19" s="52"/>
      <c r="AI19" s="52"/>
      <c r="AJ19" s="52"/>
      <c r="AK19" s="52"/>
      <c r="AL19"/>
    </row>
    <row r="20" spans="1:38" x14ac:dyDescent="0.4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x14ac:dyDescent="0.4">
      <c r="A21" t="s">
        <v>152</v>
      </c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x14ac:dyDescent="0.4">
      <c r="A22" s="52" t="s">
        <v>113</v>
      </c>
      <c r="B22" s="52">
        <v>1</v>
      </c>
      <c r="C22" s="52">
        <v>2</v>
      </c>
      <c r="D22" s="52">
        <v>3</v>
      </c>
      <c r="E22" s="52">
        <v>4</v>
      </c>
      <c r="F22" s="52">
        <v>5</v>
      </c>
      <c r="G22" s="52">
        <v>6</v>
      </c>
      <c r="H22" s="52">
        <v>7</v>
      </c>
      <c r="I22" s="52">
        <v>8</v>
      </c>
      <c r="J22" s="52">
        <v>9</v>
      </c>
      <c r="K22" s="52">
        <v>10</v>
      </c>
      <c r="L22" s="52">
        <v>11</v>
      </c>
      <c r="M22" s="52">
        <v>12</v>
      </c>
      <c r="N22" s="52">
        <v>13</v>
      </c>
      <c r="O22" s="52">
        <v>14</v>
      </c>
      <c r="P22" s="52">
        <v>15</v>
      </c>
      <c r="Q22" s="52">
        <v>16</v>
      </c>
      <c r="R22" s="52">
        <v>17</v>
      </c>
      <c r="S22" s="52">
        <v>18</v>
      </c>
      <c r="T22" s="52">
        <v>19</v>
      </c>
      <c r="U22" s="52">
        <v>20</v>
      </c>
      <c r="V22" s="52">
        <v>21</v>
      </c>
      <c r="W22" s="52">
        <v>22</v>
      </c>
      <c r="X22" s="52">
        <v>23</v>
      </c>
      <c r="Y22" s="52">
        <v>24</v>
      </c>
      <c r="Z22" s="52">
        <v>25</v>
      </c>
      <c r="AA22" s="52">
        <v>26</v>
      </c>
      <c r="AB22" s="52">
        <v>27</v>
      </c>
      <c r="AC22" s="52">
        <v>28</v>
      </c>
      <c r="AD22" s="52">
        <v>29</v>
      </c>
      <c r="AE22" s="52">
        <v>30</v>
      </c>
      <c r="AF22" s="52">
        <v>31</v>
      </c>
      <c r="AG22" s="52">
        <v>32</v>
      </c>
      <c r="AH22" s="52">
        <v>33</v>
      </c>
      <c r="AI22" s="52">
        <v>34</v>
      </c>
      <c r="AJ22" s="52">
        <v>35</v>
      </c>
      <c r="AK22" s="52">
        <v>36</v>
      </c>
      <c r="AL22"/>
    </row>
    <row r="23" spans="1:38" x14ac:dyDescent="0.4">
      <c r="A23" s="52" t="s">
        <v>150</v>
      </c>
      <c r="B23" s="52"/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52"/>
      <c r="AE23" s="52"/>
      <c r="AF23" s="52"/>
      <c r="AG23" s="52"/>
      <c r="AH23" s="52"/>
      <c r="AI23" s="52"/>
      <c r="AJ23" s="52"/>
      <c r="AK23" s="52"/>
      <c r="AL23"/>
    </row>
    <row r="24" spans="1:38" x14ac:dyDescent="0.4">
      <c r="A24" s="52" t="s">
        <v>151</v>
      </c>
      <c r="B24" s="52"/>
      <c r="C24" s="52"/>
      <c r="D24" s="52"/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  <c r="AB24" s="52"/>
      <c r="AC24" s="52"/>
      <c r="AD24" s="52"/>
      <c r="AE24" s="52"/>
      <c r="AF24" s="52"/>
      <c r="AG24" s="52"/>
      <c r="AH24" s="52"/>
      <c r="AI24" s="52"/>
      <c r="AJ24" s="52"/>
      <c r="AK24" s="52"/>
      <c r="AL24"/>
    </row>
    <row r="25" spans="1:38" x14ac:dyDescent="0.4">
      <c r="A25" s="52"/>
      <c r="B25" s="52"/>
      <c r="C25" s="52"/>
      <c r="D25" s="52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  <c r="AC25" s="52"/>
      <c r="AD25" s="52"/>
      <c r="AE25" s="52"/>
      <c r="AF25" s="52"/>
      <c r="AG25" s="52"/>
      <c r="AH25" s="52"/>
      <c r="AI25" s="52"/>
      <c r="AJ25" s="52"/>
      <c r="AK25" s="52"/>
      <c r="AL25"/>
    </row>
    <row r="26" spans="1:38" x14ac:dyDescent="0.4">
      <c r="A26" s="52"/>
      <c r="B26" s="52"/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  <c r="AC26" s="52"/>
      <c r="AD26" s="52"/>
      <c r="AE26" s="52"/>
      <c r="AF26" s="52"/>
      <c r="AG26" s="52"/>
      <c r="AH26" s="52"/>
      <c r="AI26" s="52"/>
      <c r="AJ26" s="52"/>
      <c r="AK26" s="52"/>
      <c r="AL26"/>
    </row>
    <row r="27" spans="1:38" x14ac:dyDescent="0.4">
      <c r="A27" s="52"/>
      <c r="B27" s="52"/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2"/>
      <c r="AD27" s="52"/>
      <c r="AE27" s="52"/>
      <c r="AF27" s="52"/>
      <c r="AG27" s="52"/>
      <c r="AH27" s="52"/>
      <c r="AI27" s="52"/>
      <c r="AJ27" s="52"/>
      <c r="AK27" s="52"/>
      <c r="AL27"/>
    </row>
    <row r="28" spans="1:38" x14ac:dyDescent="0.4">
      <c r="A28" s="52"/>
      <c r="B28" s="52"/>
      <c r="C28" s="52"/>
      <c r="D28" s="52"/>
      <c r="E28" s="52"/>
      <c r="F28" s="52"/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  <c r="AC28" s="52"/>
      <c r="AD28" s="52"/>
      <c r="AE28" s="52"/>
      <c r="AF28" s="52"/>
      <c r="AG28" s="52"/>
      <c r="AH28" s="52"/>
      <c r="AI28" s="52"/>
      <c r="AJ28" s="52"/>
      <c r="AK28" s="52"/>
      <c r="AL28"/>
    </row>
    <row r="29" spans="1:38" x14ac:dyDescent="0.4">
      <c r="A29" s="52"/>
      <c r="B29" s="52"/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  <c r="AC29" s="52"/>
      <c r="AD29" s="52"/>
      <c r="AE29" s="52"/>
      <c r="AF29" s="52"/>
      <c r="AG29" s="52"/>
      <c r="AH29" s="52"/>
      <c r="AI29" s="52"/>
      <c r="AJ29" s="52"/>
      <c r="AK29" s="52"/>
      <c r="AL29"/>
    </row>
    <row r="30" spans="1:38" x14ac:dyDescent="0.4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x14ac:dyDescent="0.4">
      <c r="A31" t="s">
        <v>153</v>
      </c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x14ac:dyDescent="0.4">
      <c r="A32" s="52" t="s">
        <v>113</v>
      </c>
      <c r="B32" s="52">
        <v>1</v>
      </c>
      <c r="C32" s="52">
        <v>2</v>
      </c>
      <c r="D32" s="52">
        <v>3</v>
      </c>
      <c r="E32" s="52">
        <v>4</v>
      </c>
      <c r="F32" s="52">
        <v>5</v>
      </c>
      <c r="G32" s="52">
        <v>6</v>
      </c>
      <c r="H32" s="52">
        <v>7</v>
      </c>
      <c r="I32" s="52">
        <v>8</v>
      </c>
      <c r="J32" s="52">
        <v>9</v>
      </c>
      <c r="K32" s="52">
        <v>10</v>
      </c>
      <c r="L32" s="52">
        <v>11</v>
      </c>
      <c r="M32" s="52">
        <v>12</v>
      </c>
      <c r="N32" s="52">
        <v>13</v>
      </c>
      <c r="O32" s="52">
        <v>14</v>
      </c>
      <c r="P32" s="52">
        <v>15</v>
      </c>
      <c r="Q32" s="52">
        <v>16</v>
      </c>
      <c r="R32" s="52">
        <v>17</v>
      </c>
      <c r="S32" s="52">
        <v>18</v>
      </c>
      <c r="T32" s="52">
        <v>19</v>
      </c>
      <c r="U32" s="52">
        <v>20</v>
      </c>
      <c r="V32" s="52">
        <v>21</v>
      </c>
      <c r="W32" s="52">
        <v>22</v>
      </c>
      <c r="X32" s="52">
        <v>23</v>
      </c>
      <c r="Y32" s="52">
        <v>24</v>
      </c>
      <c r="Z32" s="52">
        <v>25</v>
      </c>
      <c r="AA32" s="52">
        <v>26</v>
      </c>
      <c r="AB32" s="52">
        <v>27</v>
      </c>
      <c r="AC32" s="52">
        <v>28</v>
      </c>
      <c r="AD32" s="52">
        <v>29</v>
      </c>
      <c r="AE32" s="52">
        <v>30</v>
      </c>
      <c r="AF32" s="52">
        <v>31</v>
      </c>
      <c r="AG32" s="52">
        <v>32</v>
      </c>
      <c r="AH32" s="52">
        <v>33</v>
      </c>
      <c r="AI32" s="52">
        <v>34</v>
      </c>
      <c r="AJ32" s="52">
        <v>35</v>
      </c>
      <c r="AK32" s="52">
        <v>36</v>
      </c>
      <c r="AL32"/>
    </row>
    <row r="33" spans="1:38" x14ac:dyDescent="0.4">
      <c r="A33" s="52" t="s">
        <v>150</v>
      </c>
      <c r="B33" s="52"/>
      <c r="C33" s="52"/>
      <c r="D33" s="52"/>
      <c r="E33" s="52"/>
      <c r="F33" s="52"/>
      <c r="G33" s="52"/>
      <c r="H33" s="52"/>
      <c r="I33" s="52"/>
      <c r="J33" s="52"/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  <c r="AA33" s="52"/>
      <c r="AB33" s="52"/>
      <c r="AC33" s="52"/>
      <c r="AD33" s="52"/>
      <c r="AE33" s="52"/>
      <c r="AF33" s="52"/>
      <c r="AG33" s="52"/>
      <c r="AH33" s="52"/>
      <c r="AI33" s="52"/>
      <c r="AJ33" s="52"/>
      <c r="AK33" s="52"/>
      <c r="AL33"/>
    </row>
    <row r="34" spans="1:38" x14ac:dyDescent="0.4">
      <c r="A34" s="52" t="s">
        <v>151</v>
      </c>
      <c r="B34" s="52"/>
      <c r="C34" s="52"/>
      <c r="D34" s="52"/>
      <c r="E34" s="52"/>
      <c r="F34" s="52"/>
      <c r="G34" s="52"/>
      <c r="H34" s="52"/>
      <c r="I34" s="52"/>
      <c r="J34" s="52"/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/>
      <c r="AB34" s="52"/>
      <c r="AC34" s="52"/>
      <c r="AD34" s="52"/>
      <c r="AE34" s="52"/>
      <c r="AF34" s="52"/>
      <c r="AG34" s="52"/>
      <c r="AH34" s="52"/>
      <c r="AI34" s="52"/>
      <c r="AJ34" s="52"/>
      <c r="AK34" s="52"/>
      <c r="AL34"/>
    </row>
    <row r="35" spans="1:38" x14ac:dyDescent="0.4">
      <c r="A35" s="52"/>
      <c r="B35" s="52"/>
      <c r="C35" s="52"/>
      <c r="D35" s="52"/>
      <c r="E35" s="52"/>
      <c r="F35" s="52"/>
      <c r="G35" s="52"/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  <c r="AC35" s="52"/>
      <c r="AD35" s="52"/>
      <c r="AE35" s="52"/>
      <c r="AF35" s="52"/>
      <c r="AG35" s="52"/>
      <c r="AH35" s="52"/>
      <c r="AI35" s="52"/>
      <c r="AJ35" s="52"/>
      <c r="AK35" s="52"/>
      <c r="AL35"/>
    </row>
    <row r="36" spans="1:38" x14ac:dyDescent="0.4">
      <c r="A36" s="52"/>
      <c r="B36" s="52"/>
      <c r="C36" s="52"/>
      <c r="D36" s="52"/>
      <c r="E36" s="52"/>
      <c r="F36" s="52"/>
      <c r="G36" s="52"/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/>
      <c r="AB36" s="52"/>
      <c r="AC36" s="52"/>
      <c r="AD36" s="52"/>
      <c r="AE36" s="52"/>
      <c r="AF36" s="52"/>
      <c r="AG36" s="52"/>
      <c r="AH36" s="52"/>
      <c r="AI36" s="52"/>
      <c r="AJ36" s="52"/>
      <c r="AK36" s="52"/>
      <c r="AL36"/>
    </row>
    <row r="37" spans="1:38" x14ac:dyDescent="0.4">
      <c r="A37" s="52"/>
      <c r="B37" s="52"/>
      <c r="C37" s="52"/>
      <c r="D37" s="52"/>
      <c r="E37" s="52"/>
      <c r="F37" s="52"/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  <c r="AC37" s="52"/>
      <c r="AD37" s="52"/>
      <c r="AE37" s="52"/>
      <c r="AF37" s="52"/>
      <c r="AG37" s="52"/>
      <c r="AH37" s="52"/>
      <c r="AI37" s="52"/>
      <c r="AJ37" s="52"/>
      <c r="AK37" s="52"/>
      <c r="AL37"/>
    </row>
    <row r="38" spans="1:38" x14ac:dyDescent="0.4">
      <c r="A38" s="52"/>
      <c r="B38" s="52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52"/>
      <c r="AC38" s="52"/>
      <c r="AD38" s="52"/>
      <c r="AE38" s="52"/>
      <c r="AF38" s="52"/>
      <c r="AG38" s="52"/>
      <c r="AH38" s="52"/>
      <c r="AI38" s="52"/>
      <c r="AJ38" s="52"/>
      <c r="AK38" s="52"/>
      <c r="AL38"/>
    </row>
    <row r="39" spans="1:38" x14ac:dyDescent="0.4">
      <c r="A39" s="52"/>
      <c r="B39" s="52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/>
      <c r="AC39" s="52"/>
      <c r="AD39" s="52"/>
      <c r="AE39" s="52"/>
      <c r="AF39" s="52"/>
      <c r="AG39" s="52"/>
      <c r="AH39" s="52"/>
      <c r="AI39" s="52"/>
      <c r="AJ39" s="52"/>
      <c r="AK39" s="52"/>
      <c r="AL39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CommandButton1">
          <controlPr defaultSize="0" autoLine="0" r:id="rId5">
            <anchor moveWithCells="1">
              <from>
                <xdr:col>0</xdr:col>
                <xdr:colOff>190500</xdr:colOff>
                <xdr:row>5</xdr:row>
                <xdr:rowOff>152400</xdr:rowOff>
              </from>
              <to>
                <xdr:col>6</xdr:col>
                <xdr:colOff>0</xdr:colOff>
                <xdr:row>7</xdr:row>
                <xdr:rowOff>53340</xdr:rowOff>
              </to>
            </anchor>
          </controlPr>
        </control>
      </mc:Choice>
      <mc:Fallback>
        <control shapeId="40961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65DFA-C9DA-4282-9CB4-7B32F887A8FE}">
  <sheetPr codeName="project1"/>
  <dimension ref="A1:KO40"/>
  <sheetViews>
    <sheetView workbookViewId="0">
      <selection activeCell="B23" sqref="B23"/>
    </sheetView>
  </sheetViews>
  <sheetFormatPr defaultRowHeight="17.399999999999999" x14ac:dyDescent="0.4"/>
  <cols>
    <col min="1" max="16384" width="8.796875" style="43"/>
  </cols>
  <sheetData>
    <row r="1" spans="1:301" x14ac:dyDescent="0.4">
      <c r="A1" s="38"/>
    </row>
    <row r="2" spans="1:301" x14ac:dyDescent="0.4">
      <c r="B2" s="115">
        <v>1</v>
      </c>
      <c r="C2" s="115"/>
      <c r="D2" s="115"/>
      <c r="E2" s="115">
        <v>2</v>
      </c>
      <c r="F2" s="115"/>
      <c r="G2" s="115"/>
      <c r="H2" s="115">
        <v>3</v>
      </c>
      <c r="I2" s="115"/>
      <c r="J2" s="115"/>
      <c r="K2" s="115">
        <v>4</v>
      </c>
      <c r="L2" s="115"/>
      <c r="M2" s="115"/>
      <c r="N2" s="115">
        <v>5</v>
      </c>
      <c r="O2" s="115"/>
      <c r="P2" s="115"/>
      <c r="Q2" s="115">
        <v>6</v>
      </c>
      <c r="R2" s="115"/>
      <c r="S2" s="115"/>
      <c r="T2" s="115">
        <v>7</v>
      </c>
      <c r="U2" s="115"/>
      <c r="V2" s="115"/>
      <c r="W2" s="115">
        <v>8</v>
      </c>
      <c r="X2" s="115"/>
      <c r="Y2" s="115"/>
      <c r="Z2" s="115">
        <v>9</v>
      </c>
      <c r="AA2" s="115"/>
      <c r="AB2" s="115"/>
      <c r="AC2" s="115">
        <v>10</v>
      </c>
      <c r="AD2" s="115"/>
      <c r="AE2" s="115"/>
      <c r="AF2" s="115">
        <v>11</v>
      </c>
      <c r="AG2" s="115"/>
      <c r="AH2" s="115"/>
      <c r="AI2" s="115">
        <v>12</v>
      </c>
      <c r="AJ2" s="115"/>
      <c r="AK2" s="115"/>
      <c r="AL2" s="115">
        <v>13</v>
      </c>
      <c r="AM2" s="115"/>
      <c r="AN2" s="115"/>
      <c r="AO2" s="115">
        <v>14</v>
      </c>
      <c r="AP2" s="115"/>
      <c r="AQ2" s="115"/>
      <c r="AR2" s="115">
        <v>15</v>
      </c>
      <c r="AS2" s="115"/>
      <c r="AT2" s="115"/>
      <c r="AU2" s="115">
        <v>16</v>
      </c>
      <c r="AV2" s="115"/>
      <c r="AW2" s="115"/>
      <c r="AX2" s="115">
        <v>17</v>
      </c>
      <c r="AY2" s="115"/>
      <c r="AZ2" s="115"/>
      <c r="BA2" s="115">
        <v>18</v>
      </c>
      <c r="BB2" s="115"/>
      <c r="BC2" s="115"/>
      <c r="BD2" s="115">
        <v>19</v>
      </c>
      <c r="BE2" s="115"/>
      <c r="BF2" s="115"/>
      <c r="BG2" s="115">
        <v>20</v>
      </c>
      <c r="BH2" s="115"/>
      <c r="BI2" s="115"/>
      <c r="BJ2" s="115">
        <v>21</v>
      </c>
      <c r="BK2" s="115"/>
      <c r="BL2" s="115"/>
      <c r="BM2" s="115">
        <v>22</v>
      </c>
      <c r="BN2" s="115"/>
      <c r="BO2" s="115"/>
      <c r="BP2" s="115">
        <v>23</v>
      </c>
      <c r="BQ2" s="115"/>
      <c r="BR2" s="115"/>
      <c r="BS2" s="115">
        <v>24</v>
      </c>
      <c r="BT2" s="115"/>
      <c r="BU2" s="115"/>
      <c r="BV2" s="115">
        <v>25</v>
      </c>
      <c r="BW2" s="115"/>
      <c r="BX2" s="115"/>
      <c r="BY2" s="115">
        <v>26</v>
      </c>
      <c r="BZ2" s="115"/>
      <c r="CA2" s="115"/>
      <c r="CB2" s="115">
        <v>27</v>
      </c>
      <c r="CC2" s="115"/>
      <c r="CD2" s="115"/>
      <c r="CE2" s="115">
        <v>28</v>
      </c>
      <c r="CF2" s="115"/>
      <c r="CG2" s="115"/>
      <c r="CH2" s="115">
        <v>29</v>
      </c>
      <c r="CI2" s="115"/>
      <c r="CJ2" s="115"/>
      <c r="CK2" s="115">
        <v>30</v>
      </c>
      <c r="CL2" s="115"/>
      <c r="CM2" s="115"/>
      <c r="CN2" s="115">
        <v>31</v>
      </c>
      <c r="CO2" s="115"/>
      <c r="CP2" s="115"/>
      <c r="CQ2" s="115">
        <v>32</v>
      </c>
      <c r="CR2" s="115"/>
      <c r="CS2" s="115"/>
      <c r="CT2" s="115">
        <v>33</v>
      </c>
      <c r="CU2" s="115"/>
      <c r="CV2" s="115"/>
      <c r="CW2" s="115">
        <v>34</v>
      </c>
      <c r="CX2" s="115"/>
      <c r="CY2" s="115"/>
      <c r="CZ2" s="115">
        <v>35</v>
      </c>
      <c r="DA2" s="115"/>
      <c r="DB2" s="115"/>
      <c r="DC2" s="115">
        <v>36</v>
      </c>
      <c r="DD2" s="115"/>
      <c r="DE2" s="115"/>
      <c r="DF2" s="115">
        <v>37</v>
      </c>
      <c r="DG2" s="115"/>
      <c r="DH2" s="115"/>
      <c r="DI2" s="115">
        <v>38</v>
      </c>
      <c r="DJ2" s="115"/>
      <c r="DK2" s="115"/>
      <c r="DL2" s="115">
        <v>39</v>
      </c>
      <c r="DM2" s="115"/>
      <c r="DN2" s="115"/>
      <c r="DO2" s="115">
        <v>40</v>
      </c>
      <c r="DP2" s="115"/>
      <c r="DQ2" s="115"/>
      <c r="DR2" s="115">
        <v>41</v>
      </c>
      <c r="DS2" s="115"/>
      <c r="DT2" s="115"/>
      <c r="DU2" s="115">
        <v>42</v>
      </c>
      <c r="DV2" s="115"/>
      <c r="DW2" s="115"/>
      <c r="DX2" s="115">
        <v>43</v>
      </c>
      <c r="DY2" s="115"/>
      <c r="DZ2" s="115"/>
      <c r="EA2" s="115">
        <v>44</v>
      </c>
      <c r="EB2" s="115"/>
      <c r="EC2" s="115"/>
      <c r="ED2" s="115">
        <v>45</v>
      </c>
      <c r="EE2" s="115"/>
      <c r="EF2" s="115"/>
      <c r="EG2" s="115">
        <v>46</v>
      </c>
      <c r="EH2" s="115"/>
      <c r="EI2" s="115"/>
      <c r="EJ2" s="115">
        <v>47</v>
      </c>
      <c r="EK2" s="115"/>
      <c r="EL2" s="115"/>
      <c r="EM2" s="115">
        <v>48</v>
      </c>
      <c r="EN2" s="115"/>
      <c r="EO2" s="115"/>
      <c r="EP2" s="115">
        <v>49</v>
      </c>
      <c r="EQ2" s="115"/>
      <c r="ER2" s="115"/>
      <c r="ES2" s="115">
        <v>50</v>
      </c>
      <c r="ET2" s="115"/>
      <c r="EU2" s="115"/>
      <c r="EV2" s="115">
        <v>51</v>
      </c>
      <c r="EW2" s="115"/>
      <c r="EX2" s="115"/>
      <c r="EY2" s="115">
        <v>52</v>
      </c>
      <c r="EZ2" s="115"/>
      <c r="FA2" s="115"/>
      <c r="FB2" s="115">
        <v>53</v>
      </c>
      <c r="FC2" s="115"/>
      <c r="FD2" s="115"/>
      <c r="FE2" s="115">
        <v>54</v>
      </c>
      <c r="FF2" s="115"/>
      <c r="FG2" s="115"/>
      <c r="FH2" s="115">
        <v>55</v>
      </c>
      <c r="FI2" s="115"/>
      <c r="FJ2" s="115"/>
      <c r="FK2" s="115">
        <v>56</v>
      </c>
      <c r="FL2" s="115"/>
      <c r="FM2" s="115"/>
      <c r="FN2" s="115">
        <v>57</v>
      </c>
      <c r="FO2" s="115"/>
      <c r="FP2" s="115"/>
      <c r="FQ2" s="115">
        <v>58</v>
      </c>
      <c r="FR2" s="115"/>
      <c r="FS2" s="115"/>
      <c r="FT2" s="115">
        <v>59</v>
      </c>
      <c r="FU2" s="115"/>
      <c r="FV2" s="115"/>
      <c r="FW2" s="115">
        <v>60</v>
      </c>
      <c r="FX2" s="115"/>
      <c r="FY2" s="115"/>
      <c r="FZ2" s="115">
        <v>61</v>
      </c>
      <c r="GA2" s="115"/>
      <c r="GB2" s="115"/>
      <c r="GC2" s="115">
        <v>62</v>
      </c>
      <c r="GD2" s="115"/>
      <c r="GE2" s="115"/>
      <c r="GF2" s="115">
        <v>63</v>
      </c>
      <c r="GG2" s="115"/>
      <c r="GH2" s="115"/>
      <c r="GI2" s="115">
        <v>64</v>
      </c>
      <c r="GJ2" s="115"/>
      <c r="GK2" s="115"/>
      <c r="GL2" s="115">
        <v>65</v>
      </c>
      <c r="GM2" s="115"/>
      <c r="GN2" s="115"/>
      <c r="GO2" s="115">
        <v>66</v>
      </c>
      <c r="GP2" s="115"/>
      <c r="GQ2" s="115"/>
      <c r="GR2" s="115">
        <v>67</v>
      </c>
      <c r="GS2" s="115"/>
      <c r="GT2" s="115"/>
      <c r="GU2" s="115">
        <v>68</v>
      </c>
      <c r="GV2" s="115"/>
      <c r="GW2" s="115"/>
      <c r="GX2" s="115">
        <v>69</v>
      </c>
      <c r="GY2" s="115"/>
      <c r="GZ2" s="115"/>
      <c r="HA2" s="115">
        <v>70</v>
      </c>
      <c r="HB2" s="115"/>
      <c r="HC2" s="115"/>
      <c r="HD2" s="115">
        <v>71</v>
      </c>
      <c r="HE2" s="115"/>
      <c r="HF2" s="115"/>
      <c r="HG2" s="115">
        <v>72</v>
      </c>
      <c r="HH2" s="115"/>
      <c r="HI2" s="115"/>
      <c r="HJ2" s="115">
        <v>73</v>
      </c>
      <c r="HK2" s="115"/>
      <c r="HL2" s="115"/>
      <c r="HM2" s="115">
        <v>74</v>
      </c>
      <c r="HN2" s="115"/>
      <c r="HO2" s="115"/>
      <c r="HP2" s="115">
        <v>75</v>
      </c>
      <c r="HQ2" s="115"/>
      <c r="HR2" s="115"/>
      <c r="HS2" s="115">
        <v>76</v>
      </c>
      <c r="HT2" s="115"/>
      <c r="HU2" s="115"/>
      <c r="HV2" s="115">
        <v>77</v>
      </c>
      <c r="HW2" s="115"/>
      <c r="HX2" s="115"/>
      <c r="HY2" s="115">
        <v>78</v>
      </c>
      <c r="HZ2" s="115"/>
      <c r="IA2" s="115"/>
      <c r="IB2" s="115">
        <v>79</v>
      </c>
      <c r="IC2" s="115"/>
      <c r="ID2" s="115"/>
      <c r="IE2" s="115">
        <v>80</v>
      </c>
      <c r="IF2" s="115"/>
      <c r="IG2" s="115"/>
      <c r="IH2" s="115">
        <v>81</v>
      </c>
      <c r="II2" s="115"/>
      <c r="IJ2" s="115"/>
      <c r="IK2" s="115">
        <v>82</v>
      </c>
      <c r="IL2" s="115"/>
      <c r="IM2" s="115"/>
      <c r="IN2" s="115">
        <v>83</v>
      </c>
      <c r="IO2" s="115"/>
      <c r="IP2" s="115"/>
      <c r="IQ2" s="115">
        <v>84</v>
      </c>
      <c r="IR2" s="115"/>
      <c r="IS2" s="115"/>
      <c r="IT2" s="115">
        <v>85</v>
      </c>
      <c r="IU2" s="115"/>
      <c r="IV2" s="115"/>
      <c r="IW2" s="115">
        <v>86</v>
      </c>
      <c r="IX2" s="115"/>
      <c r="IY2" s="115"/>
      <c r="IZ2" s="115">
        <v>87</v>
      </c>
      <c r="JA2" s="115"/>
      <c r="JB2" s="115"/>
      <c r="JC2" s="115">
        <v>88</v>
      </c>
      <c r="JD2" s="115"/>
      <c r="JE2" s="115"/>
      <c r="JF2" s="115">
        <v>89</v>
      </c>
      <c r="JG2" s="115"/>
      <c r="JH2" s="115"/>
      <c r="JI2" s="115">
        <v>90</v>
      </c>
      <c r="JJ2" s="115"/>
      <c r="JK2" s="115"/>
      <c r="JL2" s="115">
        <v>91</v>
      </c>
      <c r="JM2" s="115"/>
      <c r="JN2" s="115"/>
      <c r="JO2" s="115">
        <v>92</v>
      </c>
      <c r="JP2" s="115"/>
      <c r="JQ2" s="115"/>
      <c r="JR2" s="115">
        <v>93</v>
      </c>
      <c r="JS2" s="115"/>
      <c r="JT2" s="115"/>
      <c r="JU2" s="115">
        <v>94</v>
      </c>
      <c r="JV2" s="115"/>
      <c r="JW2" s="115"/>
      <c r="JX2" s="115">
        <v>95</v>
      </c>
      <c r="JY2" s="115"/>
      <c r="JZ2" s="115"/>
      <c r="KA2" s="115">
        <v>96</v>
      </c>
      <c r="KB2" s="115"/>
      <c r="KC2" s="115"/>
      <c r="KD2" s="115">
        <v>97</v>
      </c>
      <c r="KE2" s="115"/>
      <c r="KF2" s="115"/>
      <c r="KG2" s="115">
        <v>98</v>
      </c>
      <c r="KH2" s="115"/>
      <c r="KI2" s="115"/>
      <c r="KJ2" s="115">
        <v>99</v>
      </c>
      <c r="KK2" s="115"/>
      <c r="KL2" s="115"/>
      <c r="KM2" s="115">
        <v>100</v>
      </c>
      <c r="KN2" s="115"/>
      <c r="KO2" s="115"/>
    </row>
    <row r="3" spans="1:301" x14ac:dyDescent="0.4">
      <c r="B3" s="43" t="s">
        <v>88</v>
      </c>
      <c r="C3" s="43" t="s">
        <v>89</v>
      </c>
      <c r="D3" s="43" t="s">
        <v>90</v>
      </c>
      <c r="E3" s="43" t="s">
        <v>88</v>
      </c>
      <c r="F3" s="43" t="s">
        <v>89</v>
      </c>
      <c r="G3" s="43" t="s">
        <v>90</v>
      </c>
      <c r="H3" s="43" t="s">
        <v>88</v>
      </c>
      <c r="I3" s="43" t="s">
        <v>89</v>
      </c>
      <c r="J3" s="43" t="s">
        <v>90</v>
      </c>
      <c r="K3" s="43" t="s">
        <v>88</v>
      </c>
      <c r="L3" s="43" t="s">
        <v>89</v>
      </c>
      <c r="M3" s="43" t="s">
        <v>90</v>
      </c>
      <c r="N3" s="43" t="s">
        <v>88</v>
      </c>
      <c r="O3" s="43" t="s">
        <v>89</v>
      </c>
      <c r="P3" s="43" t="s">
        <v>90</v>
      </c>
      <c r="Q3" s="43" t="s">
        <v>88</v>
      </c>
      <c r="R3" s="43" t="s">
        <v>89</v>
      </c>
      <c r="S3" s="43" t="s">
        <v>90</v>
      </c>
      <c r="T3" s="43" t="s">
        <v>88</v>
      </c>
      <c r="U3" s="43" t="s">
        <v>89</v>
      </c>
      <c r="V3" s="43" t="s">
        <v>90</v>
      </c>
      <c r="W3" s="43" t="s">
        <v>88</v>
      </c>
      <c r="X3" s="43" t="s">
        <v>89</v>
      </c>
      <c r="Y3" s="43" t="s">
        <v>90</v>
      </c>
      <c r="Z3" s="43" t="s">
        <v>88</v>
      </c>
      <c r="AA3" s="43" t="s">
        <v>89</v>
      </c>
      <c r="AB3" s="43" t="s">
        <v>90</v>
      </c>
      <c r="AC3" s="43" t="s">
        <v>88</v>
      </c>
      <c r="AD3" s="43" t="s">
        <v>89</v>
      </c>
      <c r="AE3" s="43" t="s">
        <v>90</v>
      </c>
      <c r="AF3" s="43" t="s">
        <v>88</v>
      </c>
      <c r="AG3" s="43" t="s">
        <v>89</v>
      </c>
      <c r="AH3" s="43" t="s">
        <v>90</v>
      </c>
      <c r="AI3" s="43" t="s">
        <v>88</v>
      </c>
      <c r="AJ3" s="43" t="s">
        <v>89</v>
      </c>
      <c r="AK3" s="43" t="s">
        <v>90</v>
      </c>
      <c r="AL3" s="43" t="s">
        <v>88</v>
      </c>
      <c r="AM3" s="43" t="s">
        <v>89</v>
      </c>
      <c r="AN3" s="43" t="s">
        <v>90</v>
      </c>
      <c r="AO3" s="43" t="s">
        <v>88</v>
      </c>
      <c r="AP3" s="43" t="s">
        <v>89</v>
      </c>
      <c r="AQ3" s="43" t="s">
        <v>90</v>
      </c>
      <c r="AR3" s="43" t="s">
        <v>88</v>
      </c>
      <c r="AS3" s="43" t="s">
        <v>89</v>
      </c>
      <c r="AT3" s="43" t="s">
        <v>90</v>
      </c>
      <c r="AU3" s="43" t="s">
        <v>88</v>
      </c>
      <c r="AV3" s="43" t="s">
        <v>89</v>
      </c>
      <c r="AW3" s="43" t="s">
        <v>90</v>
      </c>
      <c r="AX3" s="43" t="s">
        <v>88</v>
      </c>
      <c r="AY3" s="43" t="s">
        <v>89</v>
      </c>
      <c r="AZ3" s="43" t="s">
        <v>90</v>
      </c>
      <c r="BA3" s="43" t="s">
        <v>88</v>
      </c>
      <c r="BB3" s="43" t="s">
        <v>89</v>
      </c>
      <c r="BC3" s="43" t="s">
        <v>90</v>
      </c>
      <c r="BD3" s="43" t="s">
        <v>88</v>
      </c>
      <c r="BE3" s="43" t="s">
        <v>89</v>
      </c>
      <c r="BF3" s="43" t="s">
        <v>90</v>
      </c>
      <c r="BG3" s="43" t="s">
        <v>88</v>
      </c>
      <c r="BH3" s="43" t="s">
        <v>89</v>
      </c>
      <c r="BI3" s="43" t="s">
        <v>90</v>
      </c>
      <c r="BJ3" s="43" t="s">
        <v>88</v>
      </c>
      <c r="BK3" s="43" t="s">
        <v>89</v>
      </c>
      <c r="BL3" s="43" t="s">
        <v>90</v>
      </c>
      <c r="BM3" s="43" t="s">
        <v>88</v>
      </c>
      <c r="BN3" s="43" t="s">
        <v>89</v>
      </c>
      <c r="BO3" s="43" t="s">
        <v>90</v>
      </c>
      <c r="BP3" s="43" t="s">
        <v>88</v>
      </c>
      <c r="BQ3" s="43" t="s">
        <v>89</v>
      </c>
      <c r="BR3" s="43" t="s">
        <v>90</v>
      </c>
      <c r="BS3" s="43" t="s">
        <v>88</v>
      </c>
      <c r="BT3" s="43" t="s">
        <v>89</v>
      </c>
      <c r="BU3" s="43" t="s">
        <v>90</v>
      </c>
      <c r="BV3" s="43" t="s">
        <v>88</v>
      </c>
      <c r="BW3" s="43" t="s">
        <v>89</v>
      </c>
      <c r="BX3" s="43" t="s">
        <v>90</v>
      </c>
      <c r="BY3" s="43" t="s">
        <v>88</v>
      </c>
      <c r="BZ3" s="43" t="s">
        <v>89</v>
      </c>
      <c r="CA3" s="43" t="s">
        <v>90</v>
      </c>
      <c r="CB3" s="43" t="s">
        <v>88</v>
      </c>
      <c r="CC3" s="43" t="s">
        <v>89</v>
      </c>
      <c r="CD3" s="43" t="s">
        <v>90</v>
      </c>
      <c r="CE3" s="43" t="s">
        <v>88</v>
      </c>
      <c r="CF3" s="43" t="s">
        <v>89</v>
      </c>
      <c r="CG3" s="43" t="s">
        <v>90</v>
      </c>
      <c r="CH3" s="43" t="s">
        <v>88</v>
      </c>
      <c r="CI3" s="43" t="s">
        <v>89</v>
      </c>
      <c r="CJ3" s="43" t="s">
        <v>90</v>
      </c>
      <c r="CK3" s="43" t="s">
        <v>88</v>
      </c>
      <c r="CL3" s="43" t="s">
        <v>89</v>
      </c>
      <c r="CM3" s="43" t="s">
        <v>90</v>
      </c>
      <c r="CN3" s="43" t="s">
        <v>88</v>
      </c>
      <c r="CO3" s="43" t="s">
        <v>89</v>
      </c>
      <c r="CP3" s="43" t="s">
        <v>90</v>
      </c>
      <c r="CQ3" s="43" t="s">
        <v>88</v>
      </c>
      <c r="CR3" s="43" t="s">
        <v>89</v>
      </c>
      <c r="CS3" s="43" t="s">
        <v>90</v>
      </c>
      <c r="CT3" s="43" t="s">
        <v>88</v>
      </c>
      <c r="CU3" s="43" t="s">
        <v>89</v>
      </c>
      <c r="CV3" s="43" t="s">
        <v>90</v>
      </c>
      <c r="CW3" s="43" t="s">
        <v>88</v>
      </c>
      <c r="CX3" s="43" t="s">
        <v>89</v>
      </c>
      <c r="CY3" s="43" t="s">
        <v>90</v>
      </c>
      <c r="CZ3" s="43" t="s">
        <v>88</v>
      </c>
      <c r="DA3" s="43" t="s">
        <v>89</v>
      </c>
      <c r="DB3" s="43" t="s">
        <v>90</v>
      </c>
      <c r="DC3" s="43" t="s">
        <v>88</v>
      </c>
      <c r="DD3" s="43" t="s">
        <v>89</v>
      </c>
      <c r="DE3" s="43" t="s">
        <v>90</v>
      </c>
      <c r="DF3" s="43" t="s">
        <v>88</v>
      </c>
      <c r="DG3" s="43" t="s">
        <v>89</v>
      </c>
      <c r="DH3" s="43" t="s">
        <v>90</v>
      </c>
      <c r="DI3" s="43" t="s">
        <v>88</v>
      </c>
      <c r="DJ3" s="43" t="s">
        <v>89</v>
      </c>
      <c r="DK3" s="43" t="s">
        <v>90</v>
      </c>
      <c r="DL3" s="43" t="s">
        <v>88</v>
      </c>
      <c r="DM3" s="43" t="s">
        <v>89</v>
      </c>
      <c r="DN3" s="43" t="s">
        <v>90</v>
      </c>
      <c r="DO3" s="43" t="s">
        <v>88</v>
      </c>
      <c r="DP3" s="43" t="s">
        <v>89</v>
      </c>
      <c r="DQ3" s="43" t="s">
        <v>90</v>
      </c>
      <c r="DR3" s="43" t="s">
        <v>88</v>
      </c>
      <c r="DS3" s="43" t="s">
        <v>89</v>
      </c>
      <c r="DT3" s="43" t="s">
        <v>90</v>
      </c>
      <c r="DU3" s="43" t="s">
        <v>88</v>
      </c>
      <c r="DV3" s="43" t="s">
        <v>89</v>
      </c>
      <c r="DW3" s="43" t="s">
        <v>90</v>
      </c>
      <c r="DX3" s="43" t="s">
        <v>88</v>
      </c>
      <c r="DY3" s="43" t="s">
        <v>89</v>
      </c>
      <c r="DZ3" s="43" t="s">
        <v>90</v>
      </c>
      <c r="EA3" s="43" t="s">
        <v>88</v>
      </c>
      <c r="EB3" s="43" t="s">
        <v>89</v>
      </c>
      <c r="EC3" s="43" t="s">
        <v>90</v>
      </c>
      <c r="ED3" s="43" t="s">
        <v>88</v>
      </c>
      <c r="EE3" s="43" t="s">
        <v>89</v>
      </c>
      <c r="EF3" s="43" t="s">
        <v>90</v>
      </c>
      <c r="EG3" s="43" t="s">
        <v>88</v>
      </c>
      <c r="EH3" s="43" t="s">
        <v>89</v>
      </c>
      <c r="EI3" s="43" t="s">
        <v>90</v>
      </c>
      <c r="EJ3" s="43" t="s">
        <v>88</v>
      </c>
      <c r="EK3" s="43" t="s">
        <v>89</v>
      </c>
      <c r="EL3" s="43" t="s">
        <v>90</v>
      </c>
      <c r="EM3" s="43" t="s">
        <v>88</v>
      </c>
      <c r="EN3" s="43" t="s">
        <v>89</v>
      </c>
      <c r="EO3" s="43" t="s">
        <v>90</v>
      </c>
      <c r="EP3" s="43" t="s">
        <v>88</v>
      </c>
      <c r="EQ3" s="43" t="s">
        <v>89</v>
      </c>
      <c r="ER3" s="43" t="s">
        <v>90</v>
      </c>
      <c r="ES3" s="43" t="s">
        <v>88</v>
      </c>
      <c r="ET3" s="43" t="s">
        <v>89</v>
      </c>
      <c r="EU3" s="43" t="s">
        <v>90</v>
      </c>
      <c r="EV3" s="43" t="s">
        <v>88</v>
      </c>
      <c r="EW3" s="43" t="s">
        <v>89</v>
      </c>
      <c r="EX3" s="43" t="s">
        <v>90</v>
      </c>
      <c r="EY3" s="43" t="s">
        <v>88</v>
      </c>
      <c r="EZ3" s="43" t="s">
        <v>89</v>
      </c>
      <c r="FA3" s="43" t="s">
        <v>90</v>
      </c>
      <c r="FB3" s="43" t="s">
        <v>88</v>
      </c>
      <c r="FC3" s="43" t="s">
        <v>89</v>
      </c>
      <c r="FD3" s="43" t="s">
        <v>90</v>
      </c>
      <c r="FE3" s="43" t="s">
        <v>88</v>
      </c>
      <c r="FF3" s="43" t="s">
        <v>89</v>
      </c>
      <c r="FG3" s="43" t="s">
        <v>90</v>
      </c>
      <c r="FH3" s="43" t="s">
        <v>88</v>
      </c>
      <c r="FI3" s="43" t="s">
        <v>89</v>
      </c>
      <c r="FJ3" s="43" t="s">
        <v>90</v>
      </c>
      <c r="FK3" s="43" t="s">
        <v>88</v>
      </c>
      <c r="FL3" s="43" t="s">
        <v>89</v>
      </c>
      <c r="FM3" s="43" t="s">
        <v>90</v>
      </c>
      <c r="FN3" s="43" t="s">
        <v>88</v>
      </c>
      <c r="FO3" s="43" t="s">
        <v>89</v>
      </c>
      <c r="FP3" s="43" t="s">
        <v>90</v>
      </c>
      <c r="FQ3" s="43" t="s">
        <v>88</v>
      </c>
      <c r="FR3" s="43" t="s">
        <v>89</v>
      </c>
      <c r="FS3" s="43" t="s">
        <v>90</v>
      </c>
      <c r="FT3" s="43" t="s">
        <v>88</v>
      </c>
      <c r="FU3" s="43" t="s">
        <v>89</v>
      </c>
      <c r="FV3" s="43" t="s">
        <v>90</v>
      </c>
      <c r="FW3" s="43" t="s">
        <v>88</v>
      </c>
      <c r="FX3" s="43" t="s">
        <v>89</v>
      </c>
      <c r="FY3" s="43" t="s">
        <v>90</v>
      </c>
      <c r="FZ3" s="43" t="s">
        <v>88</v>
      </c>
      <c r="GA3" s="43" t="s">
        <v>89</v>
      </c>
      <c r="GB3" s="43" t="s">
        <v>90</v>
      </c>
      <c r="GC3" s="43" t="s">
        <v>88</v>
      </c>
      <c r="GD3" s="43" t="s">
        <v>89</v>
      </c>
      <c r="GE3" s="43" t="s">
        <v>90</v>
      </c>
      <c r="GF3" s="43" t="s">
        <v>88</v>
      </c>
      <c r="GG3" s="43" t="s">
        <v>89</v>
      </c>
      <c r="GH3" s="43" t="s">
        <v>90</v>
      </c>
      <c r="GI3" s="43" t="s">
        <v>88</v>
      </c>
      <c r="GJ3" s="43" t="s">
        <v>89</v>
      </c>
      <c r="GK3" s="43" t="s">
        <v>90</v>
      </c>
      <c r="GL3" s="43" t="s">
        <v>88</v>
      </c>
      <c r="GM3" s="43" t="s">
        <v>89</v>
      </c>
      <c r="GN3" s="43" t="s">
        <v>90</v>
      </c>
      <c r="GO3" s="43" t="s">
        <v>88</v>
      </c>
      <c r="GP3" s="43" t="s">
        <v>89</v>
      </c>
      <c r="GQ3" s="43" t="s">
        <v>90</v>
      </c>
      <c r="GR3" s="43" t="s">
        <v>88</v>
      </c>
      <c r="GS3" s="43" t="s">
        <v>89</v>
      </c>
      <c r="GT3" s="43" t="s">
        <v>90</v>
      </c>
      <c r="GU3" s="43" t="s">
        <v>88</v>
      </c>
      <c r="GV3" s="43" t="s">
        <v>89</v>
      </c>
      <c r="GW3" s="43" t="s">
        <v>90</v>
      </c>
      <c r="GX3" s="43" t="s">
        <v>88</v>
      </c>
      <c r="GY3" s="43" t="s">
        <v>89</v>
      </c>
      <c r="GZ3" s="43" t="s">
        <v>90</v>
      </c>
      <c r="HA3" s="43" t="s">
        <v>88</v>
      </c>
      <c r="HB3" s="43" t="s">
        <v>89</v>
      </c>
      <c r="HC3" s="43" t="s">
        <v>90</v>
      </c>
      <c r="HD3" s="43" t="s">
        <v>88</v>
      </c>
      <c r="HE3" s="43" t="s">
        <v>89</v>
      </c>
      <c r="HF3" s="43" t="s">
        <v>90</v>
      </c>
      <c r="HG3" s="43" t="s">
        <v>88</v>
      </c>
      <c r="HH3" s="43" t="s">
        <v>89</v>
      </c>
      <c r="HI3" s="43" t="s">
        <v>90</v>
      </c>
      <c r="HJ3" s="43" t="s">
        <v>88</v>
      </c>
      <c r="HK3" s="43" t="s">
        <v>89</v>
      </c>
      <c r="HL3" s="43" t="s">
        <v>90</v>
      </c>
      <c r="HM3" s="43" t="s">
        <v>88</v>
      </c>
      <c r="HN3" s="43" t="s">
        <v>89</v>
      </c>
      <c r="HO3" s="43" t="s">
        <v>90</v>
      </c>
      <c r="HP3" s="43" t="s">
        <v>88</v>
      </c>
      <c r="HQ3" s="43" t="s">
        <v>89</v>
      </c>
      <c r="HR3" s="43" t="s">
        <v>90</v>
      </c>
      <c r="HS3" s="43" t="s">
        <v>88</v>
      </c>
      <c r="HT3" s="43" t="s">
        <v>89</v>
      </c>
      <c r="HU3" s="43" t="s">
        <v>90</v>
      </c>
      <c r="HV3" s="43" t="s">
        <v>88</v>
      </c>
      <c r="HW3" s="43" t="s">
        <v>89</v>
      </c>
      <c r="HX3" s="43" t="s">
        <v>90</v>
      </c>
      <c r="HY3" s="43" t="s">
        <v>88</v>
      </c>
      <c r="HZ3" s="43" t="s">
        <v>89</v>
      </c>
      <c r="IA3" s="43" t="s">
        <v>90</v>
      </c>
      <c r="IB3" s="43" t="s">
        <v>88</v>
      </c>
      <c r="IC3" s="43" t="s">
        <v>89</v>
      </c>
      <c r="ID3" s="43" t="s">
        <v>90</v>
      </c>
      <c r="IE3" s="43" t="s">
        <v>88</v>
      </c>
      <c r="IF3" s="43" t="s">
        <v>89</v>
      </c>
      <c r="IG3" s="43" t="s">
        <v>90</v>
      </c>
      <c r="IH3" s="43" t="s">
        <v>88</v>
      </c>
      <c r="II3" s="43" t="s">
        <v>89</v>
      </c>
      <c r="IJ3" s="43" t="s">
        <v>90</v>
      </c>
      <c r="IK3" s="43" t="s">
        <v>88</v>
      </c>
      <c r="IL3" s="43" t="s">
        <v>89</v>
      </c>
      <c r="IM3" s="43" t="s">
        <v>90</v>
      </c>
      <c r="IN3" s="43" t="s">
        <v>88</v>
      </c>
      <c r="IO3" s="43" t="s">
        <v>89</v>
      </c>
      <c r="IP3" s="43" t="s">
        <v>90</v>
      </c>
      <c r="IQ3" s="43" t="s">
        <v>88</v>
      </c>
      <c r="IR3" s="43" t="s">
        <v>89</v>
      </c>
      <c r="IS3" s="43" t="s">
        <v>90</v>
      </c>
      <c r="IT3" s="43" t="s">
        <v>88</v>
      </c>
      <c r="IU3" s="43" t="s">
        <v>89</v>
      </c>
      <c r="IV3" s="43" t="s">
        <v>90</v>
      </c>
      <c r="IW3" s="43" t="s">
        <v>88</v>
      </c>
      <c r="IX3" s="43" t="s">
        <v>89</v>
      </c>
      <c r="IY3" s="43" t="s">
        <v>90</v>
      </c>
      <c r="IZ3" s="43" t="s">
        <v>88</v>
      </c>
      <c r="JA3" s="43" t="s">
        <v>89</v>
      </c>
      <c r="JB3" s="43" t="s">
        <v>90</v>
      </c>
      <c r="JC3" s="43" t="s">
        <v>88</v>
      </c>
      <c r="JD3" s="43" t="s">
        <v>89</v>
      </c>
      <c r="JE3" s="43" t="s">
        <v>90</v>
      </c>
      <c r="JF3" s="43" t="s">
        <v>88</v>
      </c>
      <c r="JG3" s="43" t="s">
        <v>89</v>
      </c>
      <c r="JH3" s="43" t="s">
        <v>90</v>
      </c>
      <c r="JI3" s="43" t="s">
        <v>88</v>
      </c>
      <c r="JJ3" s="43" t="s">
        <v>89</v>
      </c>
      <c r="JK3" s="43" t="s">
        <v>90</v>
      </c>
      <c r="JL3" s="43" t="s">
        <v>88</v>
      </c>
      <c r="JM3" s="43" t="s">
        <v>89</v>
      </c>
      <c r="JN3" s="43" t="s">
        <v>90</v>
      </c>
      <c r="JO3" s="43" t="s">
        <v>88</v>
      </c>
      <c r="JP3" s="43" t="s">
        <v>89</v>
      </c>
      <c r="JQ3" s="43" t="s">
        <v>90</v>
      </c>
      <c r="JR3" s="43" t="s">
        <v>88</v>
      </c>
      <c r="JS3" s="43" t="s">
        <v>89</v>
      </c>
      <c r="JT3" s="43" t="s">
        <v>90</v>
      </c>
      <c r="JU3" s="43" t="s">
        <v>88</v>
      </c>
      <c r="JV3" s="43" t="s">
        <v>89</v>
      </c>
      <c r="JW3" s="43" t="s">
        <v>90</v>
      </c>
      <c r="JX3" s="43" t="s">
        <v>88</v>
      </c>
      <c r="JY3" s="43" t="s">
        <v>89</v>
      </c>
      <c r="JZ3" s="43" t="s">
        <v>90</v>
      </c>
      <c r="KA3" s="43" t="s">
        <v>88</v>
      </c>
      <c r="KB3" s="43" t="s">
        <v>89</v>
      </c>
      <c r="KC3" s="43" t="s">
        <v>90</v>
      </c>
      <c r="KD3" s="43" t="s">
        <v>88</v>
      </c>
      <c r="KE3" s="43" t="s">
        <v>89</v>
      </c>
      <c r="KF3" s="43" t="s">
        <v>90</v>
      </c>
      <c r="KG3" s="43" t="s">
        <v>88</v>
      </c>
      <c r="KH3" s="43" t="s">
        <v>89</v>
      </c>
      <c r="KI3" s="43" t="s">
        <v>90</v>
      </c>
      <c r="KJ3" s="43" t="s">
        <v>88</v>
      </c>
      <c r="KK3" s="43" t="s">
        <v>89</v>
      </c>
      <c r="KL3" s="43" t="s">
        <v>90</v>
      </c>
      <c r="KM3" s="43" t="s">
        <v>88</v>
      </c>
      <c r="KN3" s="43" t="s">
        <v>89</v>
      </c>
      <c r="KO3" s="43" t="s">
        <v>90</v>
      </c>
    </row>
    <row r="4" spans="1:301" x14ac:dyDescent="0.4">
      <c r="B4" s="43">
        <v>0.6</v>
      </c>
      <c r="C4" s="43">
        <v>0.25</v>
      </c>
      <c r="D4" s="43">
        <v>0.17499999999999999</v>
      </c>
      <c r="E4" s="43">
        <v>0.6</v>
      </c>
      <c r="F4" s="43">
        <v>0.25</v>
      </c>
      <c r="G4" s="43">
        <v>0.17499999999999999</v>
      </c>
      <c r="H4" s="43">
        <v>0.6</v>
      </c>
      <c r="I4" s="43">
        <v>0.25</v>
      </c>
      <c r="J4" s="43">
        <v>0.17499999999999999</v>
      </c>
      <c r="K4" s="43">
        <v>0.6</v>
      </c>
      <c r="L4" s="43">
        <v>0.25</v>
      </c>
      <c r="M4" s="43">
        <v>0.17499999999999999</v>
      </c>
      <c r="N4" s="43">
        <v>0.6</v>
      </c>
      <c r="O4" s="43">
        <v>0.25</v>
      </c>
      <c r="P4" s="43">
        <v>0.17499999999999999</v>
      </c>
      <c r="Q4" s="43">
        <v>0.6</v>
      </c>
      <c r="R4" s="43">
        <v>0.25</v>
      </c>
      <c r="S4" s="43">
        <v>0.17499999999999999</v>
      </c>
      <c r="T4" s="43">
        <v>0.6</v>
      </c>
      <c r="U4" s="43">
        <v>0.25</v>
      </c>
      <c r="V4" s="43">
        <v>0.17499999999999999</v>
      </c>
      <c r="W4" s="43">
        <v>0.6</v>
      </c>
      <c r="X4" s="43">
        <v>0.25</v>
      </c>
      <c r="Y4" s="43">
        <v>0.17499999999999999</v>
      </c>
      <c r="Z4" s="43">
        <v>0.6</v>
      </c>
      <c r="AA4" s="43">
        <v>0.25</v>
      </c>
      <c r="AB4" s="43">
        <v>0.17499999999999999</v>
      </c>
      <c r="AC4" s="43">
        <v>0.6</v>
      </c>
      <c r="AD4" s="43">
        <v>0.25</v>
      </c>
      <c r="AE4" s="43">
        <v>0.17499999999999999</v>
      </c>
      <c r="AF4" s="43">
        <v>0.6</v>
      </c>
      <c r="AG4" s="43">
        <v>0.25</v>
      </c>
      <c r="AH4" s="43">
        <v>0.17499999999999999</v>
      </c>
      <c r="AI4" s="43">
        <v>0.6</v>
      </c>
      <c r="AJ4" s="43">
        <v>0.25</v>
      </c>
      <c r="AK4" s="43">
        <v>0.17499999999999999</v>
      </c>
      <c r="AL4" s="43">
        <v>0.6</v>
      </c>
      <c r="AM4" s="43">
        <v>0.25</v>
      </c>
      <c r="AN4" s="43">
        <v>0.17499999999999999</v>
      </c>
      <c r="AO4" s="43">
        <v>0.6</v>
      </c>
      <c r="AP4" s="43">
        <v>0.25</v>
      </c>
      <c r="AQ4" s="43">
        <v>0.17499999999999999</v>
      </c>
      <c r="AR4" s="43">
        <v>0.6</v>
      </c>
      <c r="AS4" s="43">
        <v>0.25</v>
      </c>
      <c r="AT4" s="43">
        <v>0.17499999999999999</v>
      </c>
      <c r="AU4" s="43">
        <v>0.6</v>
      </c>
      <c r="AV4" s="43">
        <v>0.25</v>
      </c>
      <c r="AW4" s="43">
        <v>0.17499999999999999</v>
      </c>
      <c r="AX4" s="43">
        <v>0.6</v>
      </c>
      <c r="AY4" s="43">
        <v>0.25</v>
      </c>
      <c r="AZ4" s="43">
        <v>0.17499999999999999</v>
      </c>
      <c r="BA4" s="43">
        <v>0.6</v>
      </c>
      <c r="BB4" s="43">
        <v>0.25</v>
      </c>
      <c r="BC4" s="43">
        <v>0.17499999999999999</v>
      </c>
      <c r="BD4" s="43">
        <v>0.6</v>
      </c>
      <c r="BE4" s="43">
        <v>0.25</v>
      </c>
      <c r="BF4" s="43">
        <v>0.17499999999999999</v>
      </c>
      <c r="BG4" s="43">
        <v>0.6</v>
      </c>
      <c r="BH4" s="43">
        <v>0.25</v>
      </c>
      <c r="BI4" s="43">
        <v>0.17499999999999999</v>
      </c>
      <c r="BJ4" s="43">
        <v>0.6</v>
      </c>
      <c r="BK4" s="43">
        <v>0.25</v>
      </c>
      <c r="BL4" s="43">
        <v>0.17499999999999999</v>
      </c>
      <c r="BM4" s="43">
        <v>0.6</v>
      </c>
      <c r="BN4" s="43">
        <v>0.25</v>
      </c>
      <c r="BO4" s="43">
        <v>0.17499999999999999</v>
      </c>
      <c r="BP4" s="43">
        <v>0.6</v>
      </c>
      <c r="BQ4" s="43">
        <v>0.25</v>
      </c>
      <c r="BR4" s="43">
        <v>0.17499999999999999</v>
      </c>
      <c r="BS4" s="43">
        <v>0.6</v>
      </c>
      <c r="BT4" s="43">
        <v>0.25</v>
      </c>
      <c r="BU4" s="43">
        <v>0.17499999999999999</v>
      </c>
      <c r="BV4" s="43">
        <v>0.6</v>
      </c>
      <c r="BW4" s="43">
        <v>0.25</v>
      </c>
      <c r="BX4" s="43">
        <v>0.17499999999999999</v>
      </c>
      <c r="BY4" s="43">
        <v>0.6</v>
      </c>
      <c r="BZ4" s="43">
        <v>0.25</v>
      </c>
      <c r="CA4" s="43">
        <v>0.17499999999999999</v>
      </c>
      <c r="CB4" s="43">
        <v>0.6</v>
      </c>
      <c r="CC4" s="43">
        <v>0.25</v>
      </c>
      <c r="CD4" s="43">
        <v>0.17499999999999999</v>
      </c>
      <c r="CE4" s="43">
        <v>0.6</v>
      </c>
      <c r="CF4" s="43">
        <v>0.25</v>
      </c>
      <c r="CG4" s="43">
        <v>0.17499999999999999</v>
      </c>
      <c r="CH4" s="43">
        <v>0.6</v>
      </c>
      <c r="CI4" s="43">
        <v>0.25</v>
      </c>
      <c r="CJ4" s="43">
        <v>0.17499999999999999</v>
      </c>
      <c r="CK4" s="43">
        <v>0.6</v>
      </c>
      <c r="CL4" s="43">
        <v>0.25</v>
      </c>
      <c r="CM4" s="43">
        <v>0.17499999999999999</v>
      </c>
      <c r="CN4" s="43">
        <v>0.6</v>
      </c>
      <c r="CO4" s="43">
        <v>0.25</v>
      </c>
      <c r="CP4" s="43">
        <v>0.17499999999999999</v>
      </c>
      <c r="CQ4" s="43">
        <v>0.6</v>
      </c>
      <c r="CR4" s="43">
        <v>0.25</v>
      </c>
      <c r="CS4" s="43">
        <v>0.17499999999999999</v>
      </c>
      <c r="CT4" s="43">
        <v>0.6</v>
      </c>
      <c r="CU4" s="43">
        <v>0.25</v>
      </c>
      <c r="CV4" s="43">
        <v>0.17499999999999999</v>
      </c>
      <c r="CW4" s="43">
        <v>0.6</v>
      </c>
      <c r="CX4" s="43">
        <v>0.25</v>
      </c>
      <c r="CY4" s="43">
        <v>0.17499999999999999</v>
      </c>
      <c r="CZ4" s="43">
        <v>0.6</v>
      </c>
      <c r="DA4" s="43">
        <v>0.25</v>
      </c>
      <c r="DB4" s="43">
        <v>0.17499999999999999</v>
      </c>
      <c r="DC4" s="43">
        <v>0.6</v>
      </c>
      <c r="DD4" s="43">
        <v>0.25</v>
      </c>
      <c r="DE4" s="43">
        <v>0.17499999999999999</v>
      </c>
      <c r="DF4" s="43">
        <v>0.6</v>
      </c>
      <c r="DG4" s="43">
        <v>0.25</v>
      </c>
      <c r="DH4" s="43">
        <v>0.17499999999999999</v>
      </c>
      <c r="DI4" s="43">
        <v>0.6</v>
      </c>
      <c r="DJ4" s="43">
        <v>0.25</v>
      </c>
      <c r="DK4" s="43">
        <v>0.17499999999999999</v>
      </c>
      <c r="DL4" s="43">
        <v>0.6</v>
      </c>
      <c r="DM4" s="43">
        <v>0.25</v>
      </c>
      <c r="DN4" s="43">
        <v>0.17499999999999999</v>
      </c>
      <c r="DO4" s="43">
        <v>0.6</v>
      </c>
      <c r="DP4" s="43">
        <v>0.25</v>
      </c>
      <c r="DQ4" s="43">
        <v>0.17499999999999999</v>
      </c>
      <c r="DR4" s="43">
        <v>0.6</v>
      </c>
      <c r="DS4" s="43">
        <v>0.25</v>
      </c>
      <c r="DT4" s="43">
        <v>0.17499999999999999</v>
      </c>
      <c r="DU4" s="43">
        <v>0.6</v>
      </c>
      <c r="DV4" s="43">
        <v>0.25</v>
      </c>
      <c r="DW4" s="43">
        <v>0.17499999999999999</v>
      </c>
      <c r="DX4" s="43">
        <v>0.6</v>
      </c>
      <c r="DY4" s="43">
        <v>0.25</v>
      </c>
      <c r="DZ4" s="43">
        <v>0.17499999999999999</v>
      </c>
      <c r="EA4" s="43">
        <v>0.6</v>
      </c>
      <c r="EB4" s="43">
        <v>0.25</v>
      </c>
      <c r="EC4" s="43">
        <v>0.17499999999999999</v>
      </c>
      <c r="ED4" s="43">
        <v>0.6</v>
      </c>
      <c r="EE4" s="43">
        <v>0.25</v>
      </c>
      <c r="EF4" s="43">
        <v>0.17499999999999999</v>
      </c>
      <c r="EG4" s="43">
        <v>0.6</v>
      </c>
      <c r="EH4" s="43">
        <v>0.25</v>
      </c>
      <c r="EI4" s="43">
        <v>0.17499999999999999</v>
      </c>
      <c r="EJ4" s="43">
        <v>0.6</v>
      </c>
      <c r="EK4" s="43">
        <v>0.25</v>
      </c>
      <c r="EL4" s="43">
        <v>0.17499999999999999</v>
      </c>
      <c r="EM4" s="43">
        <v>0.6</v>
      </c>
      <c r="EN4" s="43">
        <v>0.25</v>
      </c>
      <c r="EO4" s="43">
        <v>0.17499999999999999</v>
      </c>
      <c r="EP4" s="43">
        <v>0.6</v>
      </c>
      <c r="EQ4" s="43">
        <v>0.25</v>
      </c>
      <c r="ER4" s="43">
        <v>0.17499999999999999</v>
      </c>
      <c r="ES4" s="43">
        <v>0.6</v>
      </c>
      <c r="ET4" s="43">
        <v>0.25</v>
      </c>
      <c r="EU4" s="43">
        <v>0.17499999999999999</v>
      </c>
      <c r="EV4" s="43">
        <v>0.6</v>
      </c>
      <c r="EW4" s="43">
        <v>0.25</v>
      </c>
      <c r="EX4" s="43">
        <v>0.17499999999999999</v>
      </c>
      <c r="EY4" s="43">
        <v>0.6</v>
      </c>
      <c r="EZ4" s="43">
        <v>0.25</v>
      </c>
      <c r="FA4" s="43">
        <v>0.17499999999999999</v>
      </c>
      <c r="FB4" s="43">
        <v>0.6</v>
      </c>
      <c r="FC4" s="43">
        <v>0.25</v>
      </c>
      <c r="FD4" s="43">
        <v>0.17499999999999999</v>
      </c>
      <c r="FE4" s="43">
        <v>0.6</v>
      </c>
      <c r="FF4" s="43">
        <v>0.25</v>
      </c>
      <c r="FG4" s="43">
        <v>0.17499999999999999</v>
      </c>
      <c r="FH4" s="43">
        <v>0.6</v>
      </c>
      <c r="FI4" s="43">
        <v>0.25</v>
      </c>
      <c r="FJ4" s="43">
        <v>0.17499999999999999</v>
      </c>
      <c r="FK4" s="43">
        <v>0.6</v>
      </c>
      <c r="FL4" s="43">
        <v>0.25</v>
      </c>
      <c r="FM4" s="43">
        <v>0.17499999999999999</v>
      </c>
      <c r="FN4" s="43">
        <v>0.6</v>
      </c>
      <c r="FO4" s="43">
        <v>0.25</v>
      </c>
      <c r="FP4" s="43">
        <v>0.17499999999999999</v>
      </c>
      <c r="FQ4" s="43">
        <v>0.6</v>
      </c>
      <c r="FR4" s="43">
        <v>0.25</v>
      </c>
      <c r="FS4" s="43">
        <v>0.17499999999999999</v>
      </c>
      <c r="FT4" s="43">
        <v>0.6</v>
      </c>
      <c r="FU4" s="43">
        <v>0.25</v>
      </c>
      <c r="FV4" s="43">
        <v>0.17499999999999999</v>
      </c>
      <c r="FW4" s="43">
        <v>0.6</v>
      </c>
      <c r="FX4" s="43">
        <v>0.25</v>
      </c>
      <c r="FY4" s="43">
        <v>0.17499999999999999</v>
      </c>
      <c r="FZ4" s="43">
        <v>0.6</v>
      </c>
      <c r="GA4" s="43">
        <v>0.25</v>
      </c>
      <c r="GB4" s="43">
        <v>0.17499999999999999</v>
      </c>
      <c r="GC4" s="43">
        <v>0.6</v>
      </c>
      <c r="GD4" s="43">
        <v>0.25</v>
      </c>
      <c r="GE4" s="43">
        <v>0.17499999999999999</v>
      </c>
      <c r="GF4" s="43">
        <v>0.6</v>
      </c>
      <c r="GG4" s="43">
        <v>0.25</v>
      </c>
      <c r="GH4" s="43">
        <v>0.17499999999999999</v>
      </c>
      <c r="GI4" s="43">
        <v>0.6</v>
      </c>
      <c r="GJ4" s="43">
        <v>0.25</v>
      </c>
      <c r="GK4" s="43">
        <v>0.17499999999999999</v>
      </c>
      <c r="GL4" s="43">
        <v>0.6</v>
      </c>
      <c r="GM4" s="43">
        <v>0.25</v>
      </c>
      <c r="GN4" s="43">
        <v>0.17499999999999999</v>
      </c>
      <c r="GO4" s="43">
        <v>0.6</v>
      </c>
      <c r="GP4" s="43">
        <v>0.25</v>
      </c>
      <c r="GQ4" s="43">
        <v>0.17499999999999999</v>
      </c>
      <c r="GR4" s="43">
        <v>0.6</v>
      </c>
      <c r="GS4" s="43">
        <v>0.25</v>
      </c>
      <c r="GT4" s="43">
        <v>0.17499999999999999</v>
      </c>
      <c r="GU4" s="43">
        <v>0.6</v>
      </c>
      <c r="GV4" s="43">
        <v>0.25</v>
      </c>
      <c r="GW4" s="43">
        <v>0.17499999999999999</v>
      </c>
      <c r="GX4" s="43">
        <v>0.6</v>
      </c>
      <c r="GY4" s="43">
        <v>0.25</v>
      </c>
      <c r="GZ4" s="43">
        <v>0.17499999999999999</v>
      </c>
      <c r="HA4" s="43">
        <v>0.6</v>
      </c>
      <c r="HB4" s="43">
        <v>0.25</v>
      </c>
      <c r="HC4" s="43">
        <v>0.17499999999999999</v>
      </c>
      <c r="HD4" s="43">
        <v>0.6</v>
      </c>
      <c r="HE4" s="43">
        <v>0.25</v>
      </c>
      <c r="HF4" s="43">
        <v>0.17499999999999999</v>
      </c>
      <c r="HG4" s="43">
        <v>0.6</v>
      </c>
      <c r="HH4" s="43">
        <v>0.25</v>
      </c>
      <c r="HI4" s="43">
        <v>0.17499999999999999</v>
      </c>
      <c r="HJ4" s="43">
        <v>0.6</v>
      </c>
      <c r="HK4" s="43">
        <v>0.25</v>
      </c>
      <c r="HL4" s="43">
        <v>0.17499999999999999</v>
      </c>
      <c r="HM4" s="43">
        <v>0.6</v>
      </c>
      <c r="HN4" s="43">
        <v>0.25</v>
      </c>
      <c r="HO4" s="43">
        <v>0.17499999999999999</v>
      </c>
      <c r="HP4" s="43">
        <v>0.6</v>
      </c>
      <c r="HQ4" s="43">
        <v>0.25</v>
      </c>
      <c r="HR4" s="43">
        <v>0.17499999999999999</v>
      </c>
      <c r="HS4" s="43">
        <v>0.6</v>
      </c>
      <c r="HT4" s="43">
        <v>0.25</v>
      </c>
      <c r="HU4" s="43">
        <v>0.17499999999999999</v>
      </c>
      <c r="HV4" s="43">
        <v>0.6</v>
      </c>
      <c r="HW4" s="43">
        <v>0.25</v>
      </c>
      <c r="HX4" s="43">
        <v>0.17499999999999999</v>
      </c>
      <c r="HY4" s="43">
        <v>0.6</v>
      </c>
      <c r="HZ4" s="43">
        <v>0.25</v>
      </c>
      <c r="IA4" s="43">
        <v>0.17499999999999999</v>
      </c>
      <c r="IB4" s="43">
        <v>0.6</v>
      </c>
      <c r="IC4" s="43">
        <v>0.25</v>
      </c>
      <c r="ID4" s="43">
        <v>0.17499999999999999</v>
      </c>
      <c r="IE4" s="43">
        <v>0.6</v>
      </c>
      <c r="IF4" s="43">
        <v>0.25</v>
      </c>
      <c r="IG4" s="43">
        <v>0.17499999999999999</v>
      </c>
      <c r="IH4" s="43">
        <v>0.6</v>
      </c>
      <c r="II4" s="43">
        <v>0.25</v>
      </c>
      <c r="IJ4" s="43">
        <v>0.17499999999999999</v>
      </c>
      <c r="IK4" s="43">
        <v>0.6</v>
      </c>
      <c r="IL4" s="43">
        <v>0.25</v>
      </c>
      <c r="IM4" s="43">
        <v>0.17499999999999999</v>
      </c>
      <c r="IN4" s="43">
        <v>0.6</v>
      </c>
      <c r="IO4" s="43">
        <v>0.25</v>
      </c>
      <c r="IP4" s="43">
        <v>0.17499999999999999</v>
      </c>
      <c r="IQ4" s="43">
        <v>0.6</v>
      </c>
      <c r="IR4" s="43">
        <v>0.25</v>
      </c>
      <c r="IS4" s="43">
        <v>0.17499999999999999</v>
      </c>
      <c r="IT4" s="43">
        <v>0.6</v>
      </c>
      <c r="IU4" s="43">
        <v>0.25</v>
      </c>
      <c r="IV4" s="43">
        <v>0.17499999999999999</v>
      </c>
      <c r="IW4" s="43">
        <v>0.6</v>
      </c>
      <c r="IX4" s="43">
        <v>0.25</v>
      </c>
      <c r="IY4" s="43">
        <v>0.17499999999999999</v>
      </c>
      <c r="IZ4" s="43">
        <v>0.6</v>
      </c>
      <c r="JA4" s="43">
        <v>0.25</v>
      </c>
      <c r="JB4" s="43">
        <v>0.17499999999999999</v>
      </c>
      <c r="JC4" s="43">
        <v>0.6</v>
      </c>
      <c r="JD4" s="43">
        <v>0.25</v>
      </c>
      <c r="JE4" s="43">
        <v>0.17499999999999999</v>
      </c>
      <c r="JF4" s="43">
        <v>0.6</v>
      </c>
      <c r="JG4" s="43">
        <v>0.25</v>
      </c>
      <c r="JH4" s="43">
        <v>0.17499999999999999</v>
      </c>
      <c r="JI4" s="43">
        <v>0.6</v>
      </c>
      <c r="JJ4" s="43">
        <v>0.25</v>
      </c>
      <c r="JK4" s="43">
        <v>0.17499999999999999</v>
      </c>
      <c r="JL4" s="43">
        <v>0.6</v>
      </c>
      <c r="JM4" s="43">
        <v>0.25</v>
      </c>
      <c r="JN4" s="43">
        <v>0.17499999999999999</v>
      </c>
      <c r="JO4" s="43">
        <v>0.6</v>
      </c>
      <c r="JP4" s="43">
        <v>0.25</v>
      </c>
      <c r="JQ4" s="43">
        <v>0.17499999999999999</v>
      </c>
      <c r="JR4" s="43">
        <v>0.6</v>
      </c>
      <c r="JS4" s="43">
        <v>0.25</v>
      </c>
      <c r="JT4" s="43">
        <v>0.17499999999999999</v>
      </c>
      <c r="JU4" s="43">
        <v>0.6</v>
      </c>
      <c r="JV4" s="43">
        <v>0.25</v>
      </c>
      <c r="JW4" s="43">
        <v>0.17499999999999999</v>
      </c>
      <c r="JX4" s="43">
        <v>0.6</v>
      </c>
      <c r="JY4" s="43">
        <v>0.25</v>
      </c>
      <c r="JZ4" s="43">
        <v>0.17499999999999999</v>
      </c>
      <c r="KA4" s="43">
        <v>0.6</v>
      </c>
      <c r="KB4" s="43">
        <v>0.25</v>
      </c>
      <c r="KC4" s="43">
        <v>0.17499999999999999</v>
      </c>
      <c r="KD4" s="43">
        <v>0.6</v>
      </c>
      <c r="KE4" s="43">
        <v>0.25</v>
      </c>
      <c r="KF4" s="43">
        <v>0.17499999999999999</v>
      </c>
      <c r="KG4" s="43">
        <v>0.6</v>
      </c>
      <c r="KH4" s="43">
        <v>0.25</v>
      </c>
      <c r="KI4" s="43">
        <v>0.17499999999999999</v>
      </c>
      <c r="KJ4" s="43">
        <v>0.6</v>
      </c>
      <c r="KK4" s="43">
        <v>0.25</v>
      </c>
      <c r="KL4" s="43">
        <v>0.17499999999999999</v>
      </c>
      <c r="KM4" s="43">
        <v>0.6</v>
      </c>
      <c r="KN4" s="43">
        <v>0.25</v>
      </c>
      <c r="KO4" s="43">
        <v>0.17499999999999999</v>
      </c>
    </row>
    <row r="5" spans="1:301" x14ac:dyDescent="0.4">
      <c r="A5" s="43">
        <v>1</v>
      </c>
      <c r="B5" s="43">
        <v>3</v>
      </c>
      <c r="C5" s="43">
        <v>1</v>
      </c>
      <c r="D5" s="43">
        <v>1</v>
      </c>
      <c r="E5" s="43">
        <v>2</v>
      </c>
      <c r="F5" s="43">
        <v>1</v>
      </c>
      <c r="G5" s="43">
        <v>0</v>
      </c>
      <c r="H5" s="43">
        <v>3</v>
      </c>
      <c r="I5" s="43">
        <v>1</v>
      </c>
      <c r="J5" s="43">
        <v>1</v>
      </c>
      <c r="K5" s="43">
        <v>1</v>
      </c>
      <c r="L5" s="43">
        <v>1</v>
      </c>
      <c r="M5" s="43">
        <v>1</v>
      </c>
      <c r="N5" s="43">
        <v>3</v>
      </c>
      <c r="O5" s="43">
        <v>2</v>
      </c>
      <c r="P5" s="43">
        <v>1</v>
      </c>
      <c r="Q5" s="43">
        <v>3</v>
      </c>
      <c r="R5" s="43">
        <v>2</v>
      </c>
      <c r="S5" s="43">
        <v>1</v>
      </c>
      <c r="T5" s="43">
        <v>2</v>
      </c>
      <c r="U5" s="43">
        <v>2</v>
      </c>
      <c r="V5" s="43">
        <v>0</v>
      </c>
      <c r="W5" s="43">
        <v>4</v>
      </c>
      <c r="X5" s="43">
        <v>0</v>
      </c>
      <c r="Y5" s="43">
        <v>1</v>
      </c>
      <c r="Z5" s="43">
        <v>3</v>
      </c>
      <c r="AA5" s="43">
        <v>0</v>
      </c>
      <c r="AB5" s="43">
        <v>0</v>
      </c>
      <c r="AC5" s="43">
        <v>2</v>
      </c>
      <c r="AD5" s="43">
        <v>1</v>
      </c>
      <c r="AE5" s="43">
        <v>0</v>
      </c>
      <c r="AF5" s="43">
        <v>3</v>
      </c>
      <c r="AG5" s="43">
        <v>0</v>
      </c>
      <c r="AH5" s="43">
        <v>0</v>
      </c>
      <c r="AI5" s="43">
        <v>4</v>
      </c>
      <c r="AJ5" s="43">
        <v>1</v>
      </c>
      <c r="AK5" s="43">
        <v>1</v>
      </c>
      <c r="AL5" s="43">
        <v>0</v>
      </c>
      <c r="AM5" s="43">
        <v>0</v>
      </c>
      <c r="AN5" s="43">
        <v>0</v>
      </c>
      <c r="AO5" s="43">
        <v>1</v>
      </c>
      <c r="AP5" s="43">
        <v>1</v>
      </c>
      <c r="AQ5" s="43">
        <v>1</v>
      </c>
      <c r="AR5" s="43">
        <v>2</v>
      </c>
      <c r="AS5" s="43">
        <v>1</v>
      </c>
      <c r="AT5" s="43">
        <v>0</v>
      </c>
      <c r="AU5" s="43">
        <v>1</v>
      </c>
      <c r="AV5" s="43">
        <v>2</v>
      </c>
      <c r="AW5" s="43">
        <v>1</v>
      </c>
      <c r="AX5" s="43">
        <v>3</v>
      </c>
      <c r="AY5" s="43">
        <v>0</v>
      </c>
      <c r="AZ5" s="43">
        <v>2</v>
      </c>
      <c r="BA5" s="43">
        <v>3</v>
      </c>
      <c r="BB5" s="43">
        <v>2</v>
      </c>
      <c r="BC5" s="43">
        <v>2</v>
      </c>
      <c r="BD5" s="43">
        <v>3</v>
      </c>
      <c r="BE5" s="43">
        <v>1</v>
      </c>
      <c r="BF5" s="43">
        <v>2</v>
      </c>
      <c r="BG5" s="43">
        <v>2</v>
      </c>
      <c r="BH5" s="43">
        <v>1</v>
      </c>
      <c r="BI5" s="43">
        <v>1</v>
      </c>
      <c r="BJ5" s="43">
        <v>2</v>
      </c>
      <c r="BK5" s="43">
        <v>0</v>
      </c>
      <c r="BL5" s="43">
        <v>1</v>
      </c>
      <c r="BM5" s="43">
        <v>4</v>
      </c>
      <c r="BN5" s="43">
        <v>0</v>
      </c>
      <c r="BO5" s="43">
        <v>2</v>
      </c>
      <c r="BP5" s="43">
        <v>2</v>
      </c>
      <c r="BQ5" s="43">
        <v>1</v>
      </c>
      <c r="BR5" s="43">
        <v>3</v>
      </c>
      <c r="BS5" s="43">
        <v>4</v>
      </c>
      <c r="BT5" s="43">
        <v>1</v>
      </c>
      <c r="BU5" s="43">
        <v>0</v>
      </c>
      <c r="BV5" s="43">
        <v>2</v>
      </c>
      <c r="BW5" s="43">
        <v>0</v>
      </c>
      <c r="BX5" s="43">
        <v>2</v>
      </c>
      <c r="BY5" s="43">
        <v>2</v>
      </c>
      <c r="BZ5" s="43">
        <v>1</v>
      </c>
      <c r="CA5" s="43">
        <v>0</v>
      </c>
      <c r="CB5" s="43">
        <v>2</v>
      </c>
      <c r="CC5" s="43">
        <v>1</v>
      </c>
      <c r="CD5" s="43">
        <v>1</v>
      </c>
      <c r="CE5" s="43">
        <v>4</v>
      </c>
      <c r="CF5" s="43">
        <v>0</v>
      </c>
      <c r="CG5" s="43">
        <v>0</v>
      </c>
      <c r="CH5" s="43">
        <v>2</v>
      </c>
      <c r="CI5" s="43">
        <v>0</v>
      </c>
      <c r="CJ5" s="43">
        <v>1</v>
      </c>
      <c r="CK5" s="43">
        <v>3</v>
      </c>
      <c r="CL5" s="43">
        <v>1</v>
      </c>
      <c r="CM5" s="43">
        <v>0</v>
      </c>
      <c r="CN5" s="43">
        <v>3</v>
      </c>
      <c r="CO5" s="43">
        <v>0</v>
      </c>
      <c r="CP5" s="43">
        <v>0</v>
      </c>
      <c r="CQ5" s="43">
        <v>3</v>
      </c>
      <c r="CR5" s="43">
        <v>1</v>
      </c>
      <c r="CS5" s="43">
        <v>0</v>
      </c>
      <c r="CT5" s="43">
        <v>2</v>
      </c>
      <c r="CU5" s="43">
        <v>2</v>
      </c>
      <c r="CV5" s="43">
        <v>2</v>
      </c>
      <c r="CW5" s="43">
        <v>4</v>
      </c>
      <c r="CX5" s="43">
        <v>1</v>
      </c>
      <c r="CY5" s="43">
        <v>1</v>
      </c>
      <c r="CZ5" s="43">
        <v>4</v>
      </c>
      <c r="DA5" s="43">
        <v>1</v>
      </c>
      <c r="DB5" s="43">
        <v>0</v>
      </c>
      <c r="DC5" s="43">
        <v>3</v>
      </c>
      <c r="DD5" s="43">
        <v>1</v>
      </c>
      <c r="DE5" s="43">
        <v>2</v>
      </c>
      <c r="DF5" s="43">
        <v>3</v>
      </c>
      <c r="DG5" s="43">
        <v>0</v>
      </c>
      <c r="DH5" s="43">
        <v>0</v>
      </c>
      <c r="DI5" s="43">
        <v>3</v>
      </c>
      <c r="DJ5" s="43">
        <v>2</v>
      </c>
      <c r="DK5" s="43">
        <v>1</v>
      </c>
      <c r="DL5" s="43">
        <v>4</v>
      </c>
      <c r="DM5" s="43">
        <v>1</v>
      </c>
      <c r="DN5" s="43">
        <v>0</v>
      </c>
      <c r="DO5" s="43">
        <v>2</v>
      </c>
      <c r="DP5" s="43">
        <v>1</v>
      </c>
      <c r="DQ5" s="43">
        <v>0</v>
      </c>
      <c r="DR5" s="43">
        <v>2</v>
      </c>
      <c r="DS5" s="43">
        <v>2</v>
      </c>
      <c r="DT5" s="43">
        <v>2</v>
      </c>
      <c r="DU5" s="43">
        <v>3</v>
      </c>
      <c r="DV5" s="43">
        <v>0</v>
      </c>
      <c r="DW5" s="43">
        <v>0</v>
      </c>
      <c r="DX5" s="43">
        <v>2</v>
      </c>
      <c r="DY5" s="43">
        <v>0</v>
      </c>
      <c r="DZ5" s="43">
        <v>1</v>
      </c>
      <c r="EA5" s="43">
        <v>1</v>
      </c>
      <c r="EB5" s="43">
        <v>1</v>
      </c>
      <c r="EC5" s="43">
        <v>1</v>
      </c>
      <c r="ED5" s="43">
        <v>2</v>
      </c>
      <c r="EE5" s="43">
        <v>1</v>
      </c>
      <c r="EF5" s="43">
        <v>1</v>
      </c>
      <c r="EG5" s="43">
        <v>4</v>
      </c>
      <c r="EH5" s="43">
        <v>1</v>
      </c>
      <c r="EI5" s="43">
        <v>2</v>
      </c>
      <c r="EJ5" s="43">
        <v>1</v>
      </c>
      <c r="EK5" s="43">
        <v>2</v>
      </c>
      <c r="EL5" s="43">
        <v>1</v>
      </c>
      <c r="EM5" s="43">
        <v>3</v>
      </c>
      <c r="EN5" s="43">
        <v>3</v>
      </c>
      <c r="EO5" s="43">
        <v>0</v>
      </c>
      <c r="EP5" s="43">
        <v>3</v>
      </c>
      <c r="EQ5" s="43">
        <v>2</v>
      </c>
      <c r="ER5" s="43">
        <v>1</v>
      </c>
      <c r="ES5" s="43">
        <v>1</v>
      </c>
      <c r="ET5" s="43">
        <v>2</v>
      </c>
      <c r="EU5" s="43">
        <v>0</v>
      </c>
      <c r="EV5" s="43">
        <v>1</v>
      </c>
      <c r="EW5" s="43">
        <v>0</v>
      </c>
      <c r="EX5" s="43">
        <v>1</v>
      </c>
      <c r="EY5" s="43">
        <v>2</v>
      </c>
      <c r="EZ5" s="43">
        <v>0</v>
      </c>
      <c r="FA5" s="43">
        <v>1</v>
      </c>
      <c r="FB5" s="43">
        <v>3</v>
      </c>
      <c r="FC5" s="43">
        <v>2</v>
      </c>
      <c r="FD5" s="43">
        <v>0</v>
      </c>
      <c r="FE5" s="43">
        <v>1</v>
      </c>
      <c r="FF5" s="43">
        <v>3</v>
      </c>
      <c r="FG5" s="43">
        <v>0</v>
      </c>
      <c r="FH5" s="43">
        <v>2</v>
      </c>
      <c r="FI5" s="43">
        <v>2</v>
      </c>
      <c r="FJ5" s="43">
        <v>0</v>
      </c>
      <c r="FK5" s="43">
        <v>2</v>
      </c>
      <c r="FL5" s="43">
        <v>1</v>
      </c>
      <c r="FM5" s="43">
        <v>1</v>
      </c>
      <c r="FN5" s="43">
        <v>2</v>
      </c>
      <c r="FO5" s="43">
        <v>0</v>
      </c>
      <c r="FP5" s="43">
        <v>1</v>
      </c>
      <c r="FQ5" s="43">
        <v>4</v>
      </c>
      <c r="FR5" s="43">
        <v>3</v>
      </c>
      <c r="FS5" s="43">
        <v>0</v>
      </c>
      <c r="FT5" s="43">
        <v>3</v>
      </c>
      <c r="FU5" s="43">
        <v>0</v>
      </c>
      <c r="FV5" s="43">
        <v>1</v>
      </c>
      <c r="FW5" s="43">
        <v>3</v>
      </c>
      <c r="FX5" s="43">
        <v>0</v>
      </c>
      <c r="FY5" s="43">
        <v>0</v>
      </c>
      <c r="FZ5" s="43">
        <v>3</v>
      </c>
      <c r="GA5" s="43">
        <v>1</v>
      </c>
      <c r="GB5" s="43">
        <v>0</v>
      </c>
      <c r="GC5" s="43">
        <v>3</v>
      </c>
      <c r="GD5" s="43">
        <v>1</v>
      </c>
      <c r="GE5" s="43">
        <v>0</v>
      </c>
      <c r="GF5" s="43">
        <v>2</v>
      </c>
      <c r="GG5" s="43">
        <v>0</v>
      </c>
      <c r="GH5" s="43">
        <v>1</v>
      </c>
      <c r="GI5" s="43">
        <v>3</v>
      </c>
      <c r="GJ5" s="43">
        <v>1</v>
      </c>
      <c r="GK5" s="43">
        <v>0</v>
      </c>
      <c r="GL5" s="43">
        <v>2</v>
      </c>
      <c r="GM5" s="43">
        <v>2</v>
      </c>
      <c r="GN5" s="43">
        <v>0</v>
      </c>
      <c r="GO5" s="43">
        <v>3</v>
      </c>
      <c r="GP5" s="43">
        <v>0</v>
      </c>
      <c r="GQ5" s="43">
        <v>0</v>
      </c>
      <c r="GR5" s="43">
        <v>2</v>
      </c>
      <c r="GS5" s="43">
        <v>2</v>
      </c>
      <c r="GT5" s="43">
        <v>0</v>
      </c>
      <c r="GU5" s="43">
        <v>4</v>
      </c>
      <c r="GV5" s="43">
        <v>0</v>
      </c>
      <c r="GW5" s="43">
        <v>0</v>
      </c>
      <c r="GX5" s="43">
        <v>2</v>
      </c>
      <c r="GY5" s="43">
        <v>0</v>
      </c>
      <c r="GZ5" s="43">
        <v>0</v>
      </c>
      <c r="HA5" s="43">
        <v>2</v>
      </c>
      <c r="HB5" s="43">
        <v>1</v>
      </c>
      <c r="HC5" s="43">
        <v>1</v>
      </c>
      <c r="HD5" s="43">
        <v>4</v>
      </c>
      <c r="HE5" s="43">
        <v>0</v>
      </c>
      <c r="HF5" s="43">
        <v>1</v>
      </c>
      <c r="HG5" s="43">
        <v>2</v>
      </c>
      <c r="HH5" s="43">
        <v>1</v>
      </c>
      <c r="HI5" s="43">
        <v>0</v>
      </c>
      <c r="HJ5" s="43">
        <v>3</v>
      </c>
      <c r="HK5" s="43">
        <v>0</v>
      </c>
      <c r="HL5" s="43">
        <v>2</v>
      </c>
      <c r="HM5" s="43">
        <v>2</v>
      </c>
      <c r="HN5" s="43">
        <v>1</v>
      </c>
      <c r="HO5" s="43">
        <v>0</v>
      </c>
      <c r="HP5" s="43">
        <v>2</v>
      </c>
      <c r="HQ5" s="43">
        <v>0</v>
      </c>
      <c r="HR5" s="43">
        <v>0</v>
      </c>
      <c r="HS5" s="43">
        <v>3</v>
      </c>
      <c r="HT5" s="43">
        <v>0</v>
      </c>
      <c r="HU5" s="43">
        <v>1</v>
      </c>
      <c r="HV5" s="43">
        <v>1</v>
      </c>
      <c r="HW5" s="43">
        <v>1</v>
      </c>
      <c r="HX5" s="43">
        <v>1</v>
      </c>
      <c r="HY5" s="43">
        <v>3</v>
      </c>
      <c r="HZ5" s="43">
        <v>1</v>
      </c>
      <c r="IA5" s="43">
        <v>3</v>
      </c>
      <c r="IB5" s="43">
        <v>1</v>
      </c>
      <c r="IC5" s="43">
        <v>1</v>
      </c>
      <c r="ID5" s="43">
        <v>0</v>
      </c>
      <c r="IE5" s="43">
        <v>3</v>
      </c>
      <c r="IF5" s="43">
        <v>1</v>
      </c>
      <c r="IG5" s="43">
        <v>1</v>
      </c>
      <c r="IH5" s="43">
        <v>1</v>
      </c>
      <c r="II5" s="43">
        <v>2</v>
      </c>
      <c r="IJ5" s="43">
        <v>2</v>
      </c>
      <c r="IK5" s="43">
        <v>3</v>
      </c>
      <c r="IL5" s="43">
        <v>1</v>
      </c>
      <c r="IM5" s="43">
        <v>0</v>
      </c>
      <c r="IN5" s="43">
        <v>2</v>
      </c>
      <c r="IO5" s="43">
        <v>1</v>
      </c>
      <c r="IP5" s="43">
        <v>1</v>
      </c>
      <c r="IQ5" s="43">
        <v>2</v>
      </c>
      <c r="IR5" s="43">
        <v>3</v>
      </c>
      <c r="IS5" s="43">
        <v>2</v>
      </c>
      <c r="IT5" s="43">
        <v>4</v>
      </c>
      <c r="IU5" s="43">
        <v>3</v>
      </c>
      <c r="IV5" s="43">
        <v>0</v>
      </c>
      <c r="IW5" s="43">
        <v>4</v>
      </c>
      <c r="IX5" s="43">
        <v>1</v>
      </c>
      <c r="IY5" s="43">
        <v>1</v>
      </c>
      <c r="IZ5" s="43">
        <v>3</v>
      </c>
      <c r="JA5" s="43">
        <v>0</v>
      </c>
      <c r="JB5" s="43">
        <v>0</v>
      </c>
      <c r="JC5" s="43">
        <v>1</v>
      </c>
      <c r="JD5" s="43">
        <v>0</v>
      </c>
      <c r="JE5" s="43">
        <v>1</v>
      </c>
      <c r="JF5" s="43">
        <v>3</v>
      </c>
      <c r="JG5" s="43">
        <v>2</v>
      </c>
      <c r="JH5" s="43">
        <v>0</v>
      </c>
      <c r="JI5" s="43">
        <v>3</v>
      </c>
      <c r="JJ5" s="43">
        <v>1</v>
      </c>
      <c r="JK5" s="43">
        <v>1</v>
      </c>
      <c r="JL5" s="43">
        <v>1</v>
      </c>
      <c r="JM5" s="43">
        <v>1</v>
      </c>
      <c r="JN5" s="43">
        <v>1</v>
      </c>
      <c r="JO5" s="43">
        <v>2</v>
      </c>
      <c r="JP5" s="43">
        <v>1</v>
      </c>
      <c r="JQ5" s="43">
        <v>1</v>
      </c>
      <c r="JR5" s="43">
        <v>1</v>
      </c>
      <c r="JS5" s="43">
        <v>2</v>
      </c>
      <c r="JT5" s="43">
        <v>2</v>
      </c>
      <c r="JU5" s="43">
        <v>4</v>
      </c>
      <c r="JV5" s="43">
        <v>3</v>
      </c>
      <c r="JW5" s="43">
        <v>1</v>
      </c>
      <c r="JX5" s="43">
        <v>2</v>
      </c>
      <c r="JY5" s="43">
        <v>1</v>
      </c>
      <c r="JZ5" s="43">
        <v>0</v>
      </c>
      <c r="KA5" s="43">
        <v>2</v>
      </c>
      <c r="KB5" s="43">
        <v>1</v>
      </c>
      <c r="KC5" s="43">
        <v>0</v>
      </c>
      <c r="KD5" s="43">
        <v>1</v>
      </c>
      <c r="KE5" s="43">
        <v>1</v>
      </c>
      <c r="KF5" s="43">
        <v>1</v>
      </c>
      <c r="KG5" s="43">
        <v>2</v>
      </c>
      <c r="KH5" s="43">
        <v>1</v>
      </c>
      <c r="KI5" s="43">
        <v>0</v>
      </c>
      <c r="KJ5" s="43">
        <v>1</v>
      </c>
      <c r="KK5" s="43">
        <v>0</v>
      </c>
      <c r="KL5" s="43">
        <v>0</v>
      </c>
      <c r="KM5" s="43">
        <v>2</v>
      </c>
      <c r="KN5" s="43">
        <v>2</v>
      </c>
      <c r="KO5" s="43">
        <v>0</v>
      </c>
    </row>
    <row r="6" spans="1:301" x14ac:dyDescent="0.4">
      <c r="A6" s="43">
        <v>2</v>
      </c>
      <c r="B6" s="43">
        <v>1</v>
      </c>
      <c r="C6" s="43">
        <v>1</v>
      </c>
      <c r="D6" s="43">
        <v>1</v>
      </c>
      <c r="E6" s="43">
        <v>4</v>
      </c>
      <c r="F6" s="43">
        <v>1</v>
      </c>
      <c r="G6" s="43">
        <v>0</v>
      </c>
      <c r="H6" s="43">
        <v>2</v>
      </c>
      <c r="I6" s="43">
        <v>1</v>
      </c>
      <c r="J6" s="43">
        <v>1</v>
      </c>
      <c r="K6" s="43">
        <v>2</v>
      </c>
      <c r="L6" s="43">
        <v>1</v>
      </c>
      <c r="M6" s="43">
        <v>1</v>
      </c>
      <c r="N6" s="43">
        <v>2</v>
      </c>
      <c r="O6" s="43">
        <v>2</v>
      </c>
      <c r="P6" s="43">
        <v>3</v>
      </c>
      <c r="Q6" s="43">
        <v>3</v>
      </c>
      <c r="R6" s="43">
        <v>1</v>
      </c>
      <c r="S6" s="43">
        <v>2</v>
      </c>
      <c r="T6" s="43">
        <v>4</v>
      </c>
      <c r="U6" s="43">
        <v>0</v>
      </c>
      <c r="V6" s="43">
        <v>1</v>
      </c>
      <c r="W6" s="43">
        <v>3</v>
      </c>
      <c r="X6" s="43">
        <v>1</v>
      </c>
      <c r="Y6" s="43">
        <v>1</v>
      </c>
      <c r="Z6" s="43">
        <v>1</v>
      </c>
      <c r="AA6" s="43">
        <v>0</v>
      </c>
      <c r="AB6" s="43">
        <v>1</v>
      </c>
      <c r="AC6" s="43">
        <v>3</v>
      </c>
      <c r="AD6" s="43">
        <v>1</v>
      </c>
      <c r="AE6" s="43">
        <v>1</v>
      </c>
      <c r="AF6" s="43">
        <v>2</v>
      </c>
      <c r="AG6" s="43">
        <v>0</v>
      </c>
      <c r="AH6" s="43">
        <v>2</v>
      </c>
      <c r="AI6" s="43">
        <v>3</v>
      </c>
      <c r="AJ6" s="43">
        <v>0</v>
      </c>
      <c r="AK6" s="43">
        <v>2</v>
      </c>
      <c r="AL6" s="43">
        <v>4</v>
      </c>
      <c r="AM6" s="43">
        <v>1</v>
      </c>
      <c r="AN6" s="43">
        <v>0</v>
      </c>
      <c r="AO6" s="43">
        <v>0</v>
      </c>
      <c r="AP6" s="43">
        <v>1</v>
      </c>
      <c r="AQ6" s="43">
        <v>2</v>
      </c>
      <c r="AR6" s="43">
        <v>2</v>
      </c>
      <c r="AS6" s="43">
        <v>0</v>
      </c>
      <c r="AT6" s="43">
        <v>1</v>
      </c>
      <c r="AU6" s="43">
        <v>3</v>
      </c>
      <c r="AV6" s="43">
        <v>1</v>
      </c>
      <c r="AW6" s="43">
        <v>1</v>
      </c>
      <c r="AX6" s="43">
        <v>4</v>
      </c>
      <c r="AY6" s="43">
        <v>0</v>
      </c>
      <c r="AZ6" s="43">
        <v>0</v>
      </c>
      <c r="BA6" s="43">
        <v>2</v>
      </c>
      <c r="BB6" s="43">
        <v>1</v>
      </c>
      <c r="BC6" s="43">
        <v>0</v>
      </c>
      <c r="BD6" s="43">
        <v>4</v>
      </c>
      <c r="BE6" s="43">
        <v>2</v>
      </c>
      <c r="BF6" s="43">
        <v>1</v>
      </c>
      <c r="BG6" s="43">
        <v>3</v>
      </c>
      <c r="BH6" s="43">
        <v>0</v>
      </c>
      <c r="BI6" s="43">
        <v>0</v>
      </c>
      <c r="BJ6" s="43">
        <v>4</v>
      </c>
      <c r="BK6" s="43">
        <v>2</v>
      </c>
      <c r="BL6" s="43">
        <v>0</v>
      </c>
      <c r="BM6" s="43">
        <v>2</v>
      </c>
      <c r="BN6" s="43">
        <v>1</v>
      </c>
      <c r="BO6" s="43">
        <v>1</v>
      </c>
      <c r="BP6" s="43">
        <v>3</v>
      </c>
      <c r="BQ6" s="43">
        <v>0</v>
      </c>
      <c r="BR6" s="43">
        <v>1</v>
      </c>
      <c r="BS6" s="43">
        <v>3</v>
      </c>
      <c r="BT6" s="43">
        <v>0</v>
      </c>
      <c r="BU6" s="43">
        <v>0</v>
      </c>
      <c r="BV6" s="43">
        <v>3</v>
      </c>
      <c r="BW6" s="43">
        <v>2</v>
      </c>
      <c r="BX6" s="43">
        <v>0</v>
      </c>
      <c r="BY6" s="43">
        <v>3</v>
      </c>
      <c r="BZ6" s="43">
        <v>2</v>
      </c>
      <c r="CA6" s="43">
        <v>1</v>
      </c>
      <c r="CB6" s="43">
        <v>2</v>
      </c>
      <c r="CC6" s="43">
        <v>2</v>
      </c>
      <c r="CD6" s="43">
        <v>0</v>
      </c>
      <c r="CE6" s="43">
        <v>2</v>
      </c>
      <c r="CF6" s="43">
        <v>1</v>
      </c>
      <c r="CG6" s="43">
        <v>0</v>
      </c>
      <c r="CH6" s="43">
        <v>3</v>
      </c>
      <c r="CI6" s="43">
        <v>3</v>
      </c>
      <c r="CJ6" s="43">
        <v>0</v>
      </c>
      <c r="CK6" s="43">
        <v>3</v>
      </c>
      <c r="CL6" s="43">
        <v>0</v>
      </c>
      <c r="CM6" s="43">
        <v>2</v>
      </c>
      <c r="CN6" s="43">
        <v>2</v>
      </c>
      <c r="CO6" s="43">
        <v>1</v>
      </c>
      <c r="CP6" s="43">
        <v>1</v>
      </c>
      <c r="CQ6" s="43">
        <v>3</v>
      </c>
      <c r="CR6" s="43">
        <v>0</v>
      </c>
      <c r="CS6" s="43">
        <v>0</v>
      </c>
      <c r="CT6" s="43">
        <v>3</v>
      </c>
      <c r="CU6" s="43">
        <v>1</v>
      </c>
      <c r="CV6" s="43">
        <v>1</v>
      </c>
      <c r="CW6" s="43">
        <v>2</v>
      </c>
      <c r="CX6" s="43">
        <v>1</v>
      </c>
      <c r="CY6" s="43">
        <v>2</v>
      </c>
      <c r="CZ6" s="43">
        <v>2</v>
      </c>
      <c r="DA6" s="43">
        <v>0</v>
      </c>
      <c r="DB6" s="43">
        <v>2</v>
      </c>
      <c r="DC6" s="43">
        <v>2</v>
      </c>
      <c r="DD6" s="43">
        <v>1</v>
      </c>
      <c r="DE6" s="43">
        <v>1</v>
      </c>
      <c r="DF6" s="43">
        <v>2</v>
      </c>
      <c r="DG6" s="43">
        <v>0</v>
      </c>
      <c r="DH6" s="43">
        <v>1</v>
      </c>
      <c r="DI6" s="43">
        <v>2</v>
      </c>
      <c r="DJ6" s="43">
        <v>1</v>
      </c>
      <c r="DK6" s="43">
        <v>0</v>
      </c>
      <c r="DL6" s="43">
        <v>3</v>
      </c>
      <c r="DM6" s="43">
        <v>1</v>
      </c>
      <c r="DN6" s="43">
        <v>0</v>
      </c>
      <c r="DO6" s="43">
        <v>2</v>
      </c>
      <c r="DP6" s="43">
        <v>1</v>
      </c>
      <c r="DQ6" s="43">
        <v>1</v>
      </c>
      <c r="DR6" s="43">
        <v>3</v>
      </c>
      <c r="DS6" s="43">
        <v>1</v>
      </c>
      <c r="DT6" s="43">
        <v>2</v>
      </c>
      <c r="DU6" s="43">
        <v>4</v>
      </c>
      <c r="DV6" s="43">
        <v>2</v>
      </c>
      <c r="DW6" s="43">
        <v>0</v>
      </c>
      <c r="DX6" s="43">
        <v>3</v>
      </c>
      <c r="DY6" s="43">
        <v>2</v>
      </c>
      <c r="DZ6" s="43">
        <v>1</v>
      </c>
      <c r="EA6" s="43">
        <v>3</v>
      </c>
      <c r="EB6" s="43">
        <v>1</v>
      </c>
      <c r="EC6" s="43">
        <v>0</v>
      </c>
      <c r="ED6" s="43">
        <v>3</v>
      </c>
      <c r="EE6" s="43">
        <v>1</v>
      </c>
      <c r="EF6" s="43">
        <v>2</v>
      </c>
      <c r="EG6" s="43">
        <v>3</v>
      </c>
      <c r="EH6" s="43">
        <v>0</v>
      </c>
      <c r="EI6" s="43">
        <v>0</v>
      </c>
      <c r="EJ6" s="43">
        <v>4</v>
      </c>
      <c r="EK6" s="43">
        <v>2</v>
      </c>
      <c r="EL6" s="43">
        <v>0</v>
      </c>
      <c r="EM6" s="43">
        <v>2</v>
      </c>
      <c r="EN6" s="43">
        <v>1</v>
      </c>
      <c r="EO6" s="43">
        <v>1</v>
      </c>
      <c r="EP6" s="43">
        <v>3</v>
      </c>
      <c r="EQ6" s="43">
        <v>1</v>
      </c>
      <c r="ER6" s="43">
        <v>0</v>
      </c>
      <c r="ES6" s="43">
        <v>2</v>
      </c>
      <c r="ET6" s="43">
        <v>0</v>
      </c>
      <c r="EU6" s="43">
        <v>0</v>
      </c>
      <c r="EV6" s="43">
        <v>4</v>
      </c>
      <c r="EW6" s="43">
        <v>2</v>
      </c>
      <c r="EX6" s="43">
        <v>0</v>
      </c>
      <c r="EY6" s="43">
        <v>0</v>
      </c>
      <c r="EZ6" s="43">
        <v>0</v>
      </c>
      <c r="FA6" s="43">
        <v>1</v>
      </c>
      <c r="FB6" s="43">
        <v>3</v>
      </c>
      <c r="FC6" s="43">
        <v>0</v>
      </c>
      <c r="FD6" s="43">
        <v>0</v>
      </c>
      <c r="FE6" s="43">
        <v>2</v>
      </c>
      <c r="FF6" s="43">
        <v>1</v>
      </c>
      <c r="FG6" s="43">
        <v>1</v>
      </c>
      <c r="FH6" s="43">
        <v>1</v>
      </c>
      <c r="FI6" s="43">
        <v>0</v>
      </c>
      <c r="FJ6" s="43">
        <v>0</v>
      </c>
      <c r="FK6" s="43">
        <v>1</v>
      </c>
      <c r="FL6" s="43">
        <v>1</v>
      </c>
      <c r="FM6" s="43">
        <v>1</v>
      </c>
      <c r="FN6" s="43">
        <v>3</v>
      </c>
      <c r="FO6" s="43">
        <v>0</v>
      </c>
      <c r="FP6" s="43">
        <v>1</v>
      </c>
      <c r="FQ6" s="43">
        <v>1</v>
      </c>
      <c r="FR6" s="43">
        <v>1</v>
      </c>
      <c r="FS6" s="43">
        <v>1</v>
      </c>
      <c r="FT6" s="43">
        <v>1</v>
      </c>
      <c r="FU6" s="43">
        <v>2</v>
      </c>
      <c r="FV6" s="43">
        <v>1</v>
      </c>
      <c r="FW6" s="43">
        <v>2</v>
      </c>
      <c r="FX6" s="43">
        <v>0</v>
      </c>
      <c r="FY6" s="43">
        <v>0</v>
      </c>
      <c r="FZ6" s="43">
        <v>2</v>
      </c>
      <c r="GA6" s="43">
        <v>1</v>
      </c>
      <c r="GB6" s="43">
        <v>1</v>
      </c>
      <c r="GC6" s="43">
        <v>3</v>
      </c>
      <c r="GD6" s="43">
        <v>2</v>
      </c>
      <c r="GE6" s="43">
        <v>0</v>
      </c>
      <c r="GF6" s="43">
        <v>3</v>
      </c>
      <c r="GG6" s="43">
        <v>0</v>
      </c>
      <c r="GH6" s="43">
        <v>1</v>
      </c>
      <c r="GI6" s="43">
        <v>1</v>
      </c>
      <c r="GJ6" s="43">
        <v>2</v>
      </c>
      <c r="GK6" s="43">
        <v>0</v>
      </c>
      <c r="GL6" s="43">
        <v>3</v>
      </c>
      <c r="GM6" s="43">
        <v>0</v>
      </c>
      <c r="GN6" s="43">
        <v>1</v>
      </c>
      <c r="GO6" s="43">
        <v>3</v>
      </c>
      <c r="GP6" s="43">
        <v>2</v>
      </c>
      <c r="GQ6" s="43">
        <v>0</v>
      </c>
      <c r="GR6" s="43">
        <v>1</v>
      </c>
      <c r="GS6" s="43">
        <v>2</v>
      </c>
      <c r="GT6" s="43">
        <v>1</v>
      </c>
      <c r="GU6" s="43">
        <v>3</v>
      </c>
      <c r="GV6" s="43">
        <v>1</v>
      </c>
      <c r="GW6" s="43">
        <v>0</v>
      </c>
      <c r="GX6" s="43">
        <v>2</v>
      </c>
      <c r="GY6" s="43">
        <v>1</v>
      </c>
      <c r="GZ6" s="43">
        <v>0</v>
      </c>
      <c r="HA6" s="43">
        <v>2</v>
      </c>
      <c r="HB6" s="43">
        <v>0</v>
      </c>
      <c r="HC6" s="43">
        <v>0</v>
      </c>
      <c r="HD6" s="43">
        <v>1</v>
      </c>
      <c r="HE6" s="43">
        <v>1</v>
      </c>
      <c r="HF6" s="43">
        <v>0</v>
      </c>
      <c r="HG6" s="43">
        <v>2</v>
      </c>
      <c r="HH6" s="43">
        <v>1</v>
      </c>
      <c r="HI6" s="43">
        <v>0</v>
      </c>
      <c r="HJ6" s="43">
        <v>2</v>
      </c>
      <c r="HK6" s="43">
        <v>1</v>
      </c>
      <c r="HL6" s="43">
        <v>1</v>
      </c>
      <c r="HM6" s="43">
        <v>1</v>
      </c>
      <c r="HN6" s="43">
        <v>2</v>
      </c>
      <c r="HO6" s="43">
        <v>0</v>
      </c>
      <c r="HP6" s="43">
        <v>4</v>
      </c>
      <c r="HQ6" s="43">
        <v>1</v>
      </c>
      <c r="HR6" s="43">
        <v>1</v>
      </c>
      <c r="HS6" s="43">
        <v>3</v>
      </c>
      <c r="HT6" s="43">
        <v>3</v>
      </c>
      <c r="HU6" s="43">
        <v>1</v>
      </c>
      <c r="HV6" s="43">
        <v>1</v>
      </c>
      <c r="HW6" s="43">
        <v>1</v>
      </c>
      <c r="HX6" s="43">
        <v>1</v>
      </c>
      <c r="HY6" s="43">
        <v>1</v>
      </c>
      <c r="HZ6" s="43">
        <v>0</v>
      </c>
      <c r="IA6" s="43">
        <v>0</v>
      </c>
      <c r="IB6" s="43">
        <v>3</v>
      </c>
      <c r="IC6" s="43">
        <v>0</v>
      </c>
      <c r="ID6" s="43">
        <v>0</v>
      </c>
      <c r="IE6" s="43">
        <v>3</v>
      </c>
      <c r="IF6" s="43">
        <v>0</v>
      </c>
      <c r="IG6" s="43">
        <v>1</v>
      </c>
      <c r="IH6" s="43">
        <v>4</v>
      </c>
      <c r="II6" s="43">
        <v>1</v>
      </c>
      <c r="IJ6" s="43">
        <v>1</v>
      </c>
      <c r="IK6" s="43">
        <v>2</v>
      </c>
      <c r="IL6" s="43">
        <v>1</v>
      </c>
      <c r="IM6" s="43">
        <v>1</v>
      </c>
      <c r="IN6" s="43">
        <v>3</v>
      </c>
      <c r="IO6" s="43">
        <v>0</v>
      </c>
      <c r="IP6" s="43">
        <v>0</v>
      </c>
      <c r="IQ6" s="43">
        <v>2</v>
      </c>
      <c r="IR6" s="43">
        <v>1</v>
      </c>
      <c r="IS6" s="43">
        <v>1</v>
      </c>
      <c r="IT6" s="43">
        <v>3</v>
      </c>
      <c r="IU6" s="43">
        <v>0</v>
      </c>
      <c r="IV6" s="43">
        <v>0</v>
      </c>
      <c r="IW6" s="43">
        <v>1</v>
      </c>
      <c r="IX6" s="43">
        <v>1</v>
      </c>
      <c r="IY6" s="43">
        <v>0</v>
      </c>
      <c r="IZ6" s="43">
        <v>4</v>
      </c>
      <c r="JA6" s="43">
        <v>2</v>
      </c>
      <c r="JB6" s="43">
        <v>1</v>
      </c>
      <c r="JC6" s="43">
        <v>3</v>
      </c>
      <c r="JD6" s="43">
        <v>1</v>
      </c>
      <c r="JE6" s="43">
        <v>2</v>
      </c>
      <c r="JF6" s="43">
        <v>1</v>
      </c>
      <c r="JG6" s="43">
        <v>0</v>
      </c>
      <c r="JH6" s="43">
        <v>0</v>
      </c>
      <c r="JI6" s="43">
        <v>3</v>
      </c>
      <c r="JJ6" s="43">
        <v>0</v>
      </c>
      <c r="JK6" s="43">
        <v>0</v>
      </c>
      <c r="JL6" s="43">
        <v>2</v>
      </c>
      <c r="JM6" s="43">
        <v>2</v>
      </c>
      <c r="JN6" s="43">
        <v>0</v>
      </c>
      <c r="JO6" s="43">
        <v>3</v>
      </c>
      <c r="JP6" s="43">
        <v>1</v>
      </c>
      <c r="JQ6" s="43">
        <v>1</v>
      </c>
      <c r="JR6" s="43">
        <v>1</v>
      </c>
      <c r="JS6" s="43">
        <v>0</v>
      </c>
      <c r="JT6" s="43">
        <v>0</v>
      </c>
      <c r="JU6" s="43">
        <v>3</v>
      </c>
      <c r="JV6" s="43">
        <v>1</v>
      </c>
      <c r="JW6" s="43">
        <v>1</v>
      </c>
      <c r="JX6" s="43">
        <v>3</v>
      </c>
      <c r="JY6" s="43">
        <v>0</v>
      </c>
      <c r="JZ6" s="43">
        <v>1</v>
      </c>
      <c r="KA6" s="43">
        <v>2</v>
      </c>
      <c r="KB6" s="43">
        <v>0</v>
      </c>
      <c r="KC6" s="43">
        <v>1</v>
      </c>
      <c r="KD6" s="43">
        <v>2</v>
      </c>
      <c r="KE6" s="43">
        <v>1</v>
      </c>
      <c r="KF6" s="43">
        <v>2</v>
      </c>
      <c r="KG6" s="43">
        <v>2</v>
      </c>
      <c r="KH6" s="43">
        <v>2</v>
      </c>
      <c r="KI6" s="43">
        <v>0</v>
      </c>
      <c r="KJ6" s="43">
        <v>4</v>
      </c>
      <c r="KK6" s="43">
        <v>1</v>
      </c>
      <c r="KL6" s="43">
        <v>1</v>
      </c>
      <c r="KM6" s="43">
        <v>1</v>
      </c>
      <c r="KN6" s="43">
        <v>1</v>
      </c>
      <c r="KO6" s="43">
        <v>0</v>
      </c>
    </row>
    <row r="7" spans="1:301" x14ac:dyDescent="0.4">
      <c r="A7" s="43">
        <v>3</v>
      </c>
      <c r="B7" s="43">
        <v>2</v>
      </c>
      <c r="C7" s="43">
        <v>0</v>
      </c>
      <c r="D7" s="43">
        <v>0</v>
      </c>
      <c r="E7" s="43">
        <v>2</v>
      </c>
      <c r="F7" s="43">
        <v>2</v>
      </c>
      <c r="G7" s="43">
        <v>1</v>
      </c>
      <c r="H7" s="43">
        <v>3</v>
      </c>
      <c r="I7" s="43">
        <v>1</v>
      </c>
      <c r="J7" s="43">
        <v>0</v>
      </c>
      <c r="K7" s="43">
        <v>1</v>
      </c>
      <c r="L7" s="43">
        <v>0</v>
      </c>
      <c r="M7" s="43">
        <v>0</v>
      </c>
      <c r="N7" s="43">
        <v>2</v>
      </c>
      <c r="O7" s="43">
        <v>0</v>
      </c>
      <c r="P7" s="43">
        <v>0</v>
      </c>
      <c r="Q7" s="43">
        <v>3</v>
      </c>
      <c r="R7" s="43">
        <v>1</v>
      </c>
      <c r="S7" s="43">
        <v>1</v>
      </c>
      <c r="T7" s="43">
        <v>2</v>
      </c>
      <c r="U7" s="43">
        <v>1</v>
      </c>
      <c r="V7" s="43">
        <v>0</v>
      </c>
      <c r="W7" s="43">
        <v>3</v>
      </c>
      <c r="X7" s="43">
        <v>1</v>
      </c>
      <c r="Y7" s="43">
        <v>1</v>
      </c>
      <c r="Z7" s="43">
        <v>2</v>
      </c>
      <c r="AA7" s="43">
        <v>2</v>
      </c>
      <c r="AB7" s="43">
        <v>0</v>
      </c>
      <c r="AC7" s="43">
        <v>3</v>
      </c>
      <c r="AD7" s="43">
        <v>1</v>
      </c>
      <c r="AE7" s="43">
        <v>2</v>
      </c>
      <c r="AF7" s="43">
        <v>4</v>
      </c>
      <c r="AG7" s="43">
        <v>0</v>
      </c>
      <c r="AH7" s="43">
        <v>1</v>
      </c>
      <c r="AI7" s="43">
        <v>3</v>
      </c>
      <c r="AJ7" s="43">
        <v>1</v>
      </c>
      <c r="AK7" s="43">
        <v>0</v>
      </c>
      <c r="AL7" s="43">
        <v>2</v>
      </c>
      <c r="AM7" s="43">
        <v>1</v>
      </c>
      <c r="AN7" s="43">
        <v>3</v>
      </c>
      <c r="AO7" s="43">
        <v>0</v>
      </c>
      <c r="AP7" s="43">
        <v>1</v>
      </c>
      <c r="AQ7" s="43">
        <v>2</v>
      </c>
      <c r="AR7" s="43">
        <v>2</v>
      </c>
      <c r="AS7" s="43">
        <v>1</v>
      </c>
      <c r="AT7" s="43">
        <v>0</v>
      </c>
      <c r="AU7" s="43">
        <v>0</v>
      </c>
      <c r="AV7" s="43">
        <v>2</v>
      </c>
      <c r="AW7" s="43">
        <v>1</v>
      </c>
      <c r="AX7" s="43">
        <v>3</v>
      </c>
      <c r="AY7" s="43">
        <v>2</v>
      </c>
      <c r="AZ7" s="43">
        <v>1</v>
      </c>
      <c r="BA7" s="43">
        <v>0</v>
      </c>
      <c r="BB7" s="43">
        <v>2</v>
      </c>
      <c r="BC7" s="43">
        <v>1</v>
      </c>
      <c r="BD7" s="43">
        <v>1</v>
      </c>
      <c r="BE7" s="43">
        <v>2</v>
      </c>
      <c r="BF7" s="43">
        <v>0</v>
      </c>
      <c r="BG7" s="43">
        <v>1</v>
      </c>
      <c r="BH7" s="43">
        <v>3</v>
      </c>
      <c r="BI7" s="43">
        <v>0</v>
      </c>
      <c r="BJ7" s="43">
        <v>2</v>
      </c>
      <c r="BK7" s="43">
        <v>2</v>
      </c>
      <c r="BL7" s="43">
        <v>0</v>
      </c>
      <c r="BM7" s="43">
        <v>3</v>
      </c>
      <c r="BN7" s="43">
        <v>1</v>
      </c>
      <c r="BO7" s="43">
        <v>1</v>
      </c>
      <c r="BP7" s="43">
        <v>2</v>
      </c>
      <c r="BQ7" s="43">
        <v>1</v>
      </c>
      <c r="BR7" s="43">
        <v>0</v>
      </c>
      <c r="BS7" s="43">
        <v>3</v>
      </c>
      <c r="BT7" s="43">
        <v>3</v>
      </c>
      <c r="BU7" s="43">
        <v>2</v>
      </c>
      <c r="BV7" s="43">
        <v>3</v>
      </c>
      <c r="BW7" s="43">
        <v>1</v>
      </c>
      <c r="BX7" s="43">
        <v>1</v>
      </c>
      <c r="BY7" s="43">
        <v>3</v>
      </c>
      <c r="BZ7" s="43">
        <v>0</v>
      </c>
      <c r="CA7" s="43">
        <v>1</v>
      </c>
      <c r="CB7" s="43">
        <v>2</v>
      </c>
      <c r="CC7" s="43">
        <v>1</v>
      </c>
      <c r="CD7" s="43">
        <v>1</v>
      </c>
      <c r="CE7" s="43">
        <v>2</v>
      </c>
      <c r="CF7" s="43">
        <v>2</v>
      </c>
      <c r="CG7" s="43">
        <v>1</v>
      </c>
      <c r="CH7" s="43">
        <v>3</v>
      </c>
      <c r="CI7" s="43">
        <v>0</v>
      </c>
      <c r="CJ7" s="43">
        <v>1</v>
      </c>
      <c r="CK7" s="43">
        <v>3</v>
      </c>
      <c r="CL7" s="43">
        <v>1</v>
      </c>
      <c r="CM7" s="43">
        <v>0</v>
      </c>
      <c r="CN7" s="43">
        <v>0</v>
      </c>
      <c r="CO7" s="43">
        <v>2</v>
      </c>
      <c r="CP7" s="43">
        <v>1</v>
      </c>
      <c r="CQ7" s="43">
        <v>2</v>
      </c>
      <c r="CR7" s="43">
        <v>0</v>
      </c>
      <c r="CS7" s="43">
        <v>0</v>
      </c>
      <c r="CT7" s="43">
        <v>2</v>
      </c>
      <c r="CU7" s="43">
        <v>1</v>
      </c>
      <c r="CV7" s="43">
        <v>0</v>
      </c>
      <c r="CW7" s="43">
        <v>1</v>
      </c>
      <c r="CX7" s="43">
        <v>0</v>
      </c>
      <c r="CY7" s="43">
        <v>2</v>
      </c>
      <c r="CZ7" s="43">
        <v>1</v>
      </c>
      <c r="DA7" s="43">
        <v>1</v>
      </c>
      <c r="DB7" s="43">
        <v>2</v>
      </c>
      <c r="DC7" s="43">
        <v>2</v>
      </c>
      <c r="DD7" s="43">
        <v>1</v>
      </c>
      <c r="DE7" s="43">
        <v>1</v>
      </c>
      <c r="DF7" s="43">
        <v>3</v>
      </c>
      <c r="DG7" s="43">
        <v>1</v>
      </c>
      <c r="DH7" s="43">
        <v>0</v>
      </c>
      <c r="DI7" s="43">
        <v>3</v>
      </c>
      <c r="DJ7" s="43">
        <v>0</v>
      </c>
      <c r="DK7" s="43">
        <v>1</v>
      </c>
      <c r="DL7" s="43">
        <v>3</v>
      </c>
      <c r="DM7" s="43">
        <v>0</v>
      </c>
      <c r="DN7" s="43">
        <v>0</v>
      </c>
      <c r="DO7" s="43">
        <v>3</v>
      </c>
      <c r="DP7" s="43">
        <v>0</v>
      </c>
      <c r="DQ7" s="43">
        <v>0</v>
      </c>
      <c r="DR7" s="43">
        <v>3</v>
      </c>
      <c r="DS7" s="43">
        <v>1</v>
      </c>
      <c r="DT7" s="43">
        <v>0</v>
      </c>
      <c r="DU7" s="43">
        <v>3</v>
      </c>
      <c r="DV7" s="43">
        <v>3</v>
      </c>
      <c r="DW7" s="43">
        <v>3</v>
      </c>
      <c r="DX7" s="43">
        <v>3</v>
      </c>
      <c r="DY7" s="43">
        <v>2</v>
      </c>
      <c r="DZ7" s="43">
        <v>2</v>
      </c>
      <c r="EA7" s="43">
        <v>2</v>
      </c>
      <c r="EB7" s="43">
        <v>1</v>
      </c>
      <c r="EC7" s="43">
        <v>2</v>
      </c>
      <c r="ED7" s="43">
        <v>1</v>
      </c>
      <c r="EE7" s="43">
        <v>3</v>
      </c>
      <c r="EF7" s="43">
        <v>0</v>
      </c>
      <c r="EG7" s="43">
        <v>1</v>
      </c>
      <c r="EH7" s="43">
        <v>0</v>
      </c>
      <c r="EI7" s="43">
        <v>0</v>
      </c>
      <c r="EJ7" s="43">
        <v>0</v>
      </c>
      <c r="EK7" s="43">
        <v>1</v>
      </c>
      <c r="EL7" s="43">
        <v>1</v>
      </c>
      <c r="EM7" s="43">
        <v>2</v>
      </c>
      <c r="EN7" s="43">
        <v>0</v>
      </c>
      <c r="EO7" s="43">
        <v>0</v>
      </c>
      <c r="EP7" s="43">
        <v>1</v>
      </c>
      <c r="EQ7" s="43">
        <v>2</v>
      </c>
      <c r="ER7" s="43">
        <v>0</v>
      </c>
      <c r="ES7" s="43">
        <v>1</v>
      </c>
      <c r="ET7" s="43">
        <v>3</v>
      </c>
      <c r="EU7" s="43">
        <v>1</v>
      </c>
      <c r="EV7" s="43">
        <v>3</v>
      </c>
      <c r="EW7" s="43">
        <v>2</v>
      </c>
      <c r="EX7" s="43">
        <v>3</v>
      </c>
      <c r="EY7" s="43">
        <v>4</v>
      </c>
      <c r="EZ7" s="43">
        <v>1</v>
      </c>
      <c r="FA7" s="43">
        <v>0</v>
      </c>
      <c r="FB7" s="43">
        <v>3</v>
      </c>
      <c r="FC7" s="43">
        <v>2</v>
      </c>
      <c r="FD7" s="43">
        <v>0</v>
      </c>
      <c r="FE7" s="43">
        <v>4</v>
      </c>
      <c r="FF7" s="43">
        <v>0</v>
      </c>
      <c r="FG7" s="43">
        <v>1</v>
      </c>
      <c r="FH7" s="43">
        <v>2</v>
      </c>
      <c r="FI7" s="43">
        <v>1</v>
      </c>
      <c r="FJ7" s="43">
        <v>2</v>
      </c>
      <c r="FK7" s="43">
        <v>2</v>
      </c>
      <c r="FL7" s="43">
        <v>2</v>
      </c>
      <c r="FM7" s="43">
        <v>0</v>
      </c>
      <c r="FN7" s="43">
        <v>0</v>
      </c>
      <c r="FO7" s="43">
        <v>0</v>
      </c>
      <c r="FP7" s="43">
        <v>1</v>
      </c>
      <c r="FQ7" s="43">
        <v>1</v>
      </c>
      <c r="FR7" s="43">
        <v>2</v>
      </c>
      <c r="FS7" s="43">
        <v>0</v>
      </c>
      <c r="FT7" s="43">
        <v>2</v>
      </c>
      <c r="FU7" s="43">
        <v>0</v>
      </c>
      <c r="FV7" s="43">
        <v>0</v>
      </c>
      <c r="FW7" s="43">
        <v>2</v>
      </c>
      <c r="FX7" s="43">
        <v>1</v>
      </c>
      <c r="FY7" s="43">
        <v>0</v>
      </c>
      <c r="FZ7" s="43">
        <v>2</v>
      </c>
      <c r="GA7" s="43">
        <v>2</v>
      </c>
      <c r="GB7" s="43">
        <v>1</v>
      </c>
      <c r="GC7" s="43">
        <v>3</v>
      </c>
      <c r="GD7" s="43">
        <v>1</v>
      </c>
      <c r="GE7" s="43">
        <v>1</v>
      </c>
      <c r="GF7" s="43">
        <v>2</v>
      </c>
      <c r="GG7" s="43">
        <v>0</v>
      </c>
      <c r="GH7" s="43">
        <v>1</v>
      </c>
      <c r="GI7" s="43">
        <v>3</v>
      </c>
      <c r="GJ7" s="43">
        <v>1</v>
      </c>
      <c r="GK7" s="43">
        <v>0</v>
      </c>
      <c r="GL7" s="43">
        <v>2</v>
      </c>
      <c r="GM7" s="43">
        <v>1</v>
      </c>
      <c r="GN7" s="43">
        <v>0</v>
      </c>
      <c r="GO7" s="43">
        <v>2</v>
      </c>
      <c r="GP7" s="43">
        <v>2</v>
      </c>
      <c r="GQ7" s="43">
        <v>1</v>
      </c>
      <c r="GR7" s="43">
        <v>4</v>
      </c>
      <c r="GS7" s="43">
        <v>1</v>
      </c>
      <c r="GT7" s="43">
        <v>0</v>
      </c>
      <c r="GU7" s="43">
        <v>4</v>
      </c>
      <c r="GV7" s="43">
        <v>1</v>
      </c>
      <c r="GW7" s="43">
        <v>1</v>
      </c>
      <c r="GX7" s="43">
        <v>4</v>
      </c>
      <c r="GY7" s="43">
        <v>4</v>
      </c>
      <c r="GZ7" s="43">
        <v>0</v>
      </c>
      <c r="HA7" s="43">
        <v>2</v>
      </c>
      <c r="HB7" s="43">
        <v>2</v>
      </c>
      <c r="HC7" s="43">
        <v>0</v>
      </c>
      <c r="HD7" s="43">
        <v>4</v>
      </c>
      <c r="HE7" s="43">
        <v>3</v>
      </c>
      <c r="HF7" s="43">
        <v>0</v>
      </c>
      <c r="HG7" s="43">
        <v>1</v>
      </c>
      <c r="HH7" s="43">
        <v>1</v>
      </c>
      <c r="HI7" s="43">
        <v>0</v>
      </c>
      <c r="HJ7" s="43">
        <v>2</v>
      </c>
      <c r="HK7" s="43">
        <v>2</v>
      </c>
      <c r="HL7" s="43">
        <v>1</v>
      </c>
      <c r="HM7" s="43">
        <v>2</v>
      </c>
      <c r="HN7" s="43">
        <v>0</v>
      </c>
      <c r="HO7" s="43">
        <v>0</v>
      </c>
      <c r="HP7" s="43">
        <v>2</v>
      </c>
      <c r="HQ7" s="43">
        <v>2</v>
      </c>
      <c r="HR7" s="43">
        <v>1</v>
      </c>
      <c r="HS7" s="43">
        <v>2</v>
      </c>
      <c r="HT7" s="43">
        <v>1</v>
      </c>
      <c r="HU7" s="43">
        <v>2</v>
      </c>
      <c r="HV7" s="43">
        <v>3</v>
      </c>
      <c r="HW7" s="43">
        <v>0</v>
      </c>
      <c r="HX7" s="43">
        <v>1</v>
      </c>
      <c r="HY7" s="43">
        <v>4</v>
      </c>
      <c r="HZ7" s="43">
        <v>0</v>
      </c>
      <c r="IA7" s="43">
        <v>2</v>
      </c>
      <c r="IB7" s="43">
        <v>3</v>
      </c>
      <c r="IC7" s="43">
        <v>0</v>
      </c>
      <c r="ID7" s="43">
        <v>1</v>
      </c>
      <c r="IE7" s="43">
        <v>1</v>
      </c>
      <c r="IF7" s="43">
        <v>1</v>
      </c>
      <c r="IG7" s="43">
        <v>1</v>
      </c>
      <c r="IH7" s="43">
        <v>1</v>
      </c>
      <c r="II7" s="43">
        <v>0</v>
      </c>
      <c r="IJ7" s="43">
        <v>0</v>
      </c>
      <c r="IK7" s="43">
        <v>3</v>
      </c>
      <c r="IL7" s="43">
        <v>2</v>
      </c>
      <c r="IM7" s="43">
        <v>0</v>
      </c>
      <c r="IN7" s="43">
        <v>4</v>
      </c>
      <c r="IO7" s="43">
        <v>2</v>
      </c>
      <c r="IP7" s="43">
        <v>2</v>
      </c>
      <c r="IQ7" s="43">
        <v>4</v>
      </c>
      <c r="IR7" s="43">
        <v>2</v>
      </c>
      <c r="IS7" s="43">
        <v>2</v>
      </c>
      <c r="IT7" s="43">
        <v>4</v>
      </c>
      <c r="IU7" s="43">
        <v>1</v>
      </c>
      <c r="IV7" s="43">
        <v>1</v>
      </c>
      <c r="IW7" s="43">
        <v>1</v>
      </c>
      <c r="IX7" s="43">
        <v>0</v>
      </c>
      <c r="IY7" s="43">
        <v>1</v>
      </c>
      <c r="IZ7" s="43">
        <v>2</v>
      </c>
      <c r="JA7" s="43">
        <v>0</v>
      </c>
      <c r="JB7" s="43">
        <v>0</v>
      </c>
      <c r="JC7" s="43">
        <v>2</v>
      </c>
      <c r="JD7" s="43">
        <v>0</v>
      </c>
      <c r="JE7" s="43">
        <v>0</v>
      </c>
      <c r="JF7" s="43">
        <v>2</v>
      </c>
      <c r="JG7" s="43">
        <v>0</v>
      </c>
      <c r="JH7" s="43">
        <v>0</v>
      </c>
      <c r="JI7" s="43">
        <v>3</v>
      </c>
      <c r="JJ7" s="43">
        <v>2</v>
      </c>
      <c r="JK7" s="43">
        <v>0</v>
      </c>
      <c r="JL7" s="43">
        <v>3</v>
      </c>
      <c r="JM7" s="43">
        <v>1</v>
      </c>
      <c r="JN7" s="43">
        <v>2</v>
      </c>
      <c r="JO7" s="43">
        <v>2</v>
      </c>
      <c r="JP7" s="43">
        <v>1</v>
      </c>
      <c r="JQ7" s="43">
        <v>3</v>
      </c>
      <c r="JR7" s="43">
        <v>2</v>
      </c>
      <c r="JS7" s="43">
        <v>0</v>
      </c>
      <c r="JT7" s="43">
        <v>0</v>
      </c>
      <c r="JU7" s="43">
        <v>3</v>
      </c>
      <c r="JV7" s="43">
        <v>2</v>
      </c>
      <c r="JW7" s="43">
        <v>0</v>
      </c>
      <c r="JX7" s="43">
        <v>3</v>
      </c>
      <c r="JY7" s="43">
        <v>0</v>
      </c>
      <c r="JZ7" s="43">
        <v>1</v>
      </c>
      <c r="KA7" s="43">
        <v>3</v>
      </c>
      <c r="KB7" s="43">
        <v>0</v>
      </c>
      <c r="KC7" s="43">
        <v>2</v>
      </c>
      <c r="KD7" s="43">
        <v>3</v>
      </c>
      <c r="KE7" s="43">
        <v>2</v>
      </c>
      <c r="KF7" s="43">
        <v>0</v>
      </c>
      <c r="KG7" s="43">
        <v>3</v>
      </c>
      <c r="KH7" s="43">
        <v>0</v>
      </c>
      <c r="KI7" s="43">
        <v>0</v>
      </c>
      <c r="KJ7" s="43">
        <v>2</v>
      </c>
      <c r="KK7" s="43">
        <v>1</v>
      </c>
      <c r="KL7" s="43">
        <v>0</v>
      </c>
      <c r="KM7" s="43">
        <v>2</v>
      </c>
      <c r="KN7" s="43">
        <v>3</v>
      </c>
      <c r="KO7" s="43">
        <v>0</v>
      </c>
    </row>
    <row r="8" spans="1:301" x14ac:dyDescent="0.4">
      <c r="A8" s="43">
        <v>4</v>
      </c>
      <c r="B8" s="43">
        <v>2</v>
      </c>
      <c r="C8" s="43">
        <v>2</v>
      </c>
      <c r="D8" s="43">
        <v>2</v>
      </c>
      <c r="E8" s="43">
        <v>3</v>
      </c>
      <c r="F8" s="43">
        <v>0</v>
      </c>
      <c r="G8" s="43">
        <v>0</v>
      </c>
      <c r="H8" s="43">
        <v>3</v>
      </c>
      <c r="I8" s="43">
        <v>2</v>
      </c>
      <c r="J8" s="43">
        <v>0</v>
      </c>
      <c r="K8" s="43">
        <v>3</v>
      </c>
      <c r="L8" s="43">
        <v>4</v>
      </c>
      <c r="M8" s="43">
        <v>0</v>
      </c>
      <c r="N8" s="43">
        <v>2</v>
      </c>
      <c r="O8" s="43">
        <v>1</v>
      </c>
      <c r="P8" s="43">
        <v>1</v>
      </c>
      <c r="Q8" s="43">
        <v>1</v>
      </c>
      <c r="R8" s="43">
        <v>1</v>
      </c>
      <c r="S8" s="43">
        <v>1</v>
      </c>
      <c r="T8" s="43">
        <v>1</v>
      </c>
      <c r="U8" s="43">
        <v>1</v>
      </c>
      <c r="V8" s="43">
        <v>0</v>
      </c>
      <c r="W8" s="43">
        <v>2</v>
      </c>
      <c r="X8" s="43">
        <v>1</v>
      </c>
      <c r="Y8" s="43">
        <v>1</v>
      </c>
      <c r="Z8" s="43">
        <v>3</v>
      </c>
      <c r="AA8" s="43">
        <v>1</v>
      </c>
      <c r="AB8" s="43">
        <v>0</v>
      </c>
      <c r="AC8" s="43">
        <v>2</v>
      </c>
      <c r="AD8" s="43">
        <v>1</v>
      </c>
      <c r="AE8" s="43">
        <v>1</v>
      </c>
      <c r="AF8" s="43">
        <v>2</v>
      </c>
      <c r="AG8" s="43">
        <v>0</v>
      </c>
      <c r="AH8" s="43">
        <v>3</v>
      </c>
      <c r="AI8" s="43">
        <v>4</v>
      </c>
      <c r="AJ8" s="43">
        <v>1</v>
      </c>
      <c r="AK8" s="43">
        <v>0</v>
      </c>
      <c r="AL8" s="43">
        <v>3</v>
      </c>
      <c r="AM8" s="43">
        <v>1</v>
      </c>
      <c r="AN8" s="43">
        <v>1</v>
      </c>
      <c r="AO8" s="43">
        <v>3</v>
      </c>
      <c r="AP8" s="43">
        <v>0</v>
      </c>
      <c r="AQ8" s="43">
        <v>1</v>
      </c>
      <c r="AR8" s="43">
        <v>3</v>
      </c>
      <c r="AS8" s="43">
        <v>2</v>
      </c>
      <c r="AT8" s="43">
        <v>1</v>
      </c>
      <c r="AU8" s="43">
        <v>4</v>
      </c>
      <c r="AV8" s="43">
        <v>1</v>
      </c>
      <c r="AW8" s="43">
        <v>0</v>
      </c>
      <c r="AX8" s="43">
        <v>2</v>
      </c>
      <c r="AY8" s="43">
        <v>2</v>
      </c>
      <c r="AZ8" s="43">
        <v>0</v>
      </c>
      <c r="BA8" s="43">
        <v>3</v>
      </c>
      <c r="BB8" s="43">
        <v>3</v>
      </c>
      <c r="BC8" s="43">
        <v>1</v>
      </c>
      <c r="BD8" s="43">
        <v>2</v>
      </c>
      <c r="BE8" s="43">
        <v>2</v>
      </c>
      <c r="BF8" s="43">
        <v>0</v>
      </c>
      <c r="BG8" s="43">
        <v>3</v>
      </c>
      <c r="BH8" s="43">
        <v>2</v>
      </c>
      <c r="BI8" s="43">
        <v>1</v>
      </c>
      <c r="BJ8" s="43">
        <v>2</v>
      </c>
      <c r="BK8" s="43">
        <v>1</v>
      </c>
      <c r="BL8" s="43">
        <v>0</v>
      </c>
      <c r="BM8" s="43">
        <v>2</v>
      </c>
      <c r="BN8" s="43">
        <v>1</v>
      </c>
      <c r="BO8" s="43">
        <v>0</v>
      </c>
      <c r="BP8" s="43">
        <v>3</v>
      </c>
      <c r="BQ8" s="43">
        <v>0</v>
      </c>
      <c r="BR8" s="43">
        <v>1</v>
      </c>
      <c r="BS8" s="43">
        <v>2</v>
      </c>
      <c r="BT8" s="43">
        <v>1</v>
      </c>
      <c r="BU8" s="43">
        <v>0</v>
      </c>
      <c r="BV8" s="43">
        <v>2</v>
      </c>
      <c r="BW8" s="43">
        <v>0</v>
      </c>
      <c r="BX8" s="43">
        <v>0</v>
      </c>
      <c r="BY8" s="43">
        <v>1</v>
      </c>
      <c r="BZ8" s="43">
        <v>1</v>
      </c>
      <c r="CA8" s="43">
        <v>1</v>
      </c>
      <c r="CB8" s="43">
        <v>3</v>
      </c>
      <c r="CC8" s="43">
        <v>0</v>
      </c>
      <c r="CD8" s="43">
        <v>1</v>
      </c>
      <c r="CE8" s="43">
        <v>2</v>
      </c>
      <c r="CF8" s="43">
        <v>1</v>
      </c>
      <c r="CG8" s="43">
        <v>0</v>
      </c>
      <c r="CH8" s="43">
        <v>2</v>
      </c>
      <c r="CI8" s="43">
        <v>1</v>
      </c>
      <c r="CJ8" s="43">
        <v>1</v>
      </c>
      <c r="CK8" s="43">
        <v>3</v>
      </c>
      <c r="CL8" s="43">
        <v>1</v>
      </c>
      <c r="CM8" s="43">
        <v>0</v>
      </c>
      <c r="CN8" s="43">
        <v>3</v>
      </c>
      <c r="CO8" s="43">
        <v>2</v>
      </c>
      <c r="CP8" s="43">
        <v>0</v>
      </c>
      <c r="CQ8" s="43">
        <v>3</v>
      </c>
      <c r="CR8" s="43">
        <v>2</v>
      </c>
      <c r="CS8" s="43">
        <v>1</v>
      </c>
      <c r="CT8" s="43">
        <v>2</v>
      </c>
      <c r="CU8" s="43">
        <v>0</v>
      </c>
      <c r="CV8" s="43">
        <v>0</v>
      </c>
      <c r="CW8" s="43">
        <v>3</v>
      </c>
      <c r="CX8" s="43">
        <v>1</v>
      </c>
      <c r="CY8" s="43">
        <v>1</v>
      </c>
      <c r="CZ8" s="43">
        <v>4</v>
      </c>
      <c r="DA8" s="43">
        <v>1</v>
      </c>
      <c r="DB8" s="43">
        <v>0</v>
      </c>
      <c r="DC8" s="43">
        <v>1</v>
      </c>
      <c r="DD8" s="43">
        <v>3</v>
      </c>
      <c r="DE8" s="43">
        <v>1</v>
      </c>
      <c r="DF8" s="43">
        <v>2</v>
      </c>
      <c r="DG8" s="43">
        <v>1</v>
      </c>
      <c r="DH8" s="43">
        <v>0</v>
      </c>
      <c r="DI8" s="43">
        <v>3</v>
      </c>
      <c r="DJ8" s="43">
        <v>1</v>
      </c>
      <c r="DK8" s="43">
        <v>1</v>
      </c>
      <c r="DL8" s="43">
        <v>3</v>
      </c>
      <c r="DM8" s="43">
        <v>0</v>
      </c>
      <c r="DN8" s="43">
        <v>0</v>
      </c>
      <c r="DO8" s="43">
        <v>1</v>
      </c>
      <c r="DP8" s="43">
        <v>2</v>
      </c>
      <c r="DQ8" s="43">
        <v>0</v>
      </c>
      <c r="DR8" s="43">
        <v>2</v>
      </c>
      <c r="DS8" s="43">
        <v>0</v>
      </c>
      <c r="DT8" s="43">
        <v>1</v>
      </c>
      <c r="DU8" s="43">
        <v>3</v>
      </c>
      <c r="DV8" s="43">
        <v>1</v>
      </c>
      <c r="DW8" s="43">
        <v>0</v>
      </c>
      <c r="DX8" s="43">
        <v>3</v>
      </c>
      <c r="DY8" s="43">
        <v>1</v>
      </c>
      <c r="DZ8" s="43">
        <v>2</v>
      </c>
      <c r="EA8" s="43">
        <v>2</v>
      </c>
      <c r="EB8" s="43">
        <v>2</v>
      </c>
      <c r="EC8" s="43">
        <v>0</v>
      </c>
      <c r="ED8" s="43">
        <v>1</v>
      </c>
      <c r="EE8" s="43">
        <v>1</v>
      </c>
      <c r="EF8" s="43">
        <v>1</v>
      </c>
      <c r="EG8" s="43">
        <v>4</v>
      </c>
      <c r="EH8" s="43">
        <v>0</v>
      </c>
      <c r="EI8" s="43">
        <v>1</v>
      </c>
      <c r="EJ8" s="43">
        <v>2</v>
      </c>
      <c r="EK8" s="43">
        <v>0</v>
      </c>
      <c r="EL8" s="43">
        <v>0</v>
      </c>
      <c r="EM8" s="43">
        <v>2</v>
      </c>
      <c r="EN8" s="43">
        <v>2</v>
      </c>
      <c r="EO8" s="43">
        <v>0</v>
      </c>
      <c r="EP8" s="43">
        <v>3</v>
      </c>
      <c r="EQ8" s="43">
        <v>0</v>
      </c>
      <c r="ER8" s="43">
        <v>1</v>
      </c>
      <c r="ES8" s="43">
        <v>1</v>
      </c>
      <c r="ET8" s="43">
        <v>1</v>
      </c>
      <c r="EU8" s="43">
        <v>0</v>
      </c>
      <c r="EV8" s="43">
        <v>3</v>
      </c>
      <c r="EW8" s="43">
        <v>1</v>
      </c>
      <c r="EX8" s="43">
        <v>0</v>
      </c>
      <c r="EY8" s="43">
        <v>4</v>
      </c>
      <c r="EZ8" s="43">
        <v>1</v>
      </c>
      <c r="FA8" s="43">
        <v>0</v>
      </c>
      <c r="FB8" s="43">
        <v>4</v>
      </c>
      <c r="FC8" s="43">
        <v>1</v>
      </c>
      <c r="FD8" s="43">
        <v>0</v>
      </c>
      <c r="FE8" s="43">
        <v>1</v>
      </c>
      <c r="FF8" s="43">
        <v>0</v>
      </c>
      <c r="FG8" s="43">
        <v>0</v>
      </c>
      <c r="FH8" s="43">
        <v>3</v>
      </c>
      <c r="FI8" s="43">
        <v>3</v>
      </c>
      <c r="FJ8" s="43">
        <v>0</v>
      </c>
      <c r="FK8" s="43">
        <v>2</v>
      </c>
      <c r="FL8" s="43">
        <v>1</v>
      </c>
      <c r="FM8" s="43">
        <v>1</v>
      </c>
      <c r="FN8" s="43">
        <v>4</v>
      </c>
      <c r="FO8" s="43">
        <v>0</v>
      </c>
      <c r="FP8" s="43">
        <v>0</v>
      </c>
      <c r="FQ8" s="43">
        <v>3</v>
      </c>
      <c r="FR8" s="43">
        <v>1</v>
      </c>
      <c r="FS8" s="43">
        <v>1</v>
      </c>
      <c r="FT8" s="43">
        <v>3</v>
      </c>
      <c r="FU8" s="43">
        <v>0</v>
      </c>
      <c r="FV8" s="43">
        <v>0</v>
      </c>
      <c r="FW8" s="43">
        <v>2</v>
      </c>
      <c r="FX8" s="43">
        <v>1</v>
      </c>
      <c r="FY8" s="43">
        <v>0</v>
      </c>
      <c r="FZ8" s="43">
        <v>4</v>
      </c>
      <c r="GA8" s="43">
        <v>1</v>
      </c>
      <c r="GB8" s="43">
        <v>2</v>
      </c>
      <c r="GC8" s="43">
        <v>1</v>
      </c>
      <c r="GD8" s="43">
        <v>1</v>
      </c>
      <c r="GE8" s="43">
        <v>1</v>
      </c>
      <c r="GF8" s="43">
        <v>2</v>
      </c>
      <c r="GG8" s="43">
        <v>1</v>
      </c>
      <c r="GH8" s="43">
        <v>0</v>
      </c>
      <c r="GI8" s="43">
        <v>2</v>
      </c>
      <c r="GJ8" s="43">
        <v>3</v>
      </c>
      <c r="GK8" s="43">
        <v>0</v>
      </c>
      <c r="GL8" s="43">
        <v>2</v>
      </c>
      <c r="GM8" s="43">
        <v>1</v>
      </c>
      <c r="GN8" s="43">
        <v>0</v>
      </c>
      <c r="GO8" s="43">
        <v>2</v>
      </c>
      <c r="GP8" s="43">
        <v>0</v>
      </c>
      <c r="GQ8" s="43">
        <v>0</v>
      </c>
      <c r="GR8" s="43">
        <v>3</v>
      </c>
      <c r="GS8" s="43">
        <v>0</v>
      </c>
      <c r="GT8" s="43">
        <v>2</v>
      </c>
      <c r="GU8" s="43">
        <v>4</v>
      </c>
      <c r="GV8" s="43">
        <v>1</v>
      </c>
      <c r="GW8" s="43">
        <v>1</v>
      </c>
      <c r="GX8" s="43">
        <v>4</v>
      </c>
      <c r="GY8" s="43">
        <v>2</v>
      </c>
      <c r="GZ8" s="43">
        <v>0</v>
      </c>
      <c r="HA8" s="43">
        <v>2</v>
      </c>
      <c r="HB8" s="43">
        <v>1</v>
      </c>
      <c r="HC8" s="43">
        <v>1</v>
      </c>
      <c r="HD8" s="43">
        <v>2</v>
      </c>
      <c r="HE8" s="43">
        <v>1</v>
      </c>
      <c r="HF8" s="43">
        <v>0</v>
      </c>
      <c r="HG8" s="43">
        <v>2</v>
      </c>
      <c r="HH8" s="43">
        <v>0</v>
      </c>
      <c r="HI8" s="43">
        <v>2</v>
      </c>
      <c r="HJ8" s="43">
        <v>4</v>
      </c>
      <c r="HK8" s="43">
        <v>1</v>
      </c>
      <c r="HL8" s="43">
        <v>1</v>
      </c>
      <c r="HM8" s="43">
        <v>4</v>
      </c>
      <c r="HN8" s="43">
        <v>1</v>
      </c>
      <c r="HO8" s="43">
        <v>0</v>
      </c>
      <c r="HP8" s="43">
        <v>2</v>
      </c>
      <c r="HQ8" s="43">
        <v>0</v>
      </c>
      <c r="HR8" s="43">
        <v>0</v>
      </c>
      <c r="HS8" s="43">
        <v>4</v>
      </c>
      <c r="HT8" s="43">
        <v>1</v>
      </c>
      <c r="HU8" s="43">
        <v>1</v>
      </c>
      <c r="HV8" s="43">
        <v>3</v>
      </c>
      <c r="HW8" s="43">
        <v>2</v>
      </c>
      <c r="HX8" s="43">
        <v>1</v>
      </c>
      <c r="HY8" s="43">
        <v>3</v>
      </c>
      <c r="HZ8" s="43">
        <v>1</v>
      </c>
      <c r="IA8" s="43">
        <v>0</v>
      </c>
      <c r="IB8" s="43">
        <v>3</v>
      </c>
      <c r="IC8" s="43">
        <v>1</v>
      </c>
      <c r="ID8" s="43">
        <v>0</v>
      </c>
      <c r="IE8" s="43">
        <v>2</v>
      </c>
      <c r="IF8" s="43">
        <v>1</v>
      </c>
      <c r="IG8" s="43">
        <v>2</v>
      </c>
      <c r="IH8" s="43">
        <v>1</v>
      </c>
      <c r="II8" s="43">
        <v>0</v>
      </c>
      <c r="IJ8" s="43">
        <v>2</v>
      </c>
      <c r="IK8" s="43">
        <v>3</v>
      </c>
      <c r="IL8" s="43">
        <v>1</v>
      </c>
      <c r="IM8" s="43">
        <v>1</v>
      </c>
      <c r="IN8" s="43">
        <v>3</v>
      </c>
      <c r="IO8" s="43">
        <v>2</v>
      </c>
      <c r="IP8" s="43">
        <v>1</v>
      </c>
      <c r="IQ8" s="43">
        <v>0</v>
      </c>
      <c r="IR8" s="43">
        <v>1</v>
      </c>
      <c r="IS8" s="43">
        <v>0</v>
      </c>
      <c r="IT8" s="43">
        <v>1</v>
      </c>
      <c r="IU8" s="43">
        <v>0</v>
      </c>
      <c r="IV8" s="43">
        <v>0</v>
      </c>
      <c r="IW8" s="43">
        <v>3</v>
      </c>
      <c r="IX8" s="43">
        <v>1</v>
      </c>
      <c r="IY8" s="43">
        <v>0</v>
      </c>
      <c r="IZ8" s="43">
        <v>1</v>
      </c>
      <c r="JA8" s="43">
        <v>3</v>
      </c>
      <c r="JB8" s="43">
        <v>1</v>
      </c>
      <c r="JC8" s="43">
        <v>4</v>
      </c>
      <c r="JD8" s="43">
        <v>1</v>
      </c>
      <c r="JE8" s="43">
        <v>1</v>
      </c>
      <c r="JF8" s="43">
        <v>2</v>
      </c>
      <c r="JG8" s="43">
        <v>1</v>
      </c>
      <c r="JH8" s="43">
        <v>2</v>
      </c>
      <c r="JI8" s="43">
        <v>3</v>
      </c>
      <c r="JJ8" s="43">
        <v>2</v>
      </c>
      <c r="JK8" s="43">
        <v>0</v>
      </c>
      <c r="JL8" s="43">
        <v>4</v>
      </c>
      <c r="JM8" s="43">
        <v>2</v>
      </c>
      <c r="JN8" s="43">
        <v>0</v>
      </c>
      <c r="JO8" s="43">
        <v>2</v>
      </c>
      <c r="JP8" s="43">
        <v>0</v>
      </c>
      <c r="JQ8" s="43">
        <v>1</v>
      </c>
      <c r="JR8" s="43">
        <v>2</v>
      </c>
      <c r="JS8" s="43">
        <v>1</v>
      </c>
      <c r="JT8" s="43">
        <v>0</v>
      </c>
      <c r="JU8" s="43">
        <v>4</v>
      </c>
      <c r="JV8" s="43">
        <v>0</v>
      </c>
      <c r="JW8" s="43">
        <v>1</v>
      </c>
      <c r="JX8" s="43">
        <v>2</v>
      </c>
      <c r="JY8" s="43">
        <v>0</v>
      </c>
      <c r="JZ8" s="43">
        <v>2</v>
      </c>
      <c r="KA8" s="43">
        <v>1</v>
      </c>
      <c r="KB8" s="43">
        <v>1</v>
      </c>
      <c r="KC8" s="43">
        <v>1</v>
      </c>
      <c r="KD8" s="43">
        <v>1</v>
      </c>
      <c r="KE8" s="43">
        <v>1</v>
      </c>
      <c r="KF8" s="43">
        <v>0</v>
      </c>
      <c r="KG8" s="43">
        <v>3</v>
      </c>
      <c r="KH8" s="43">
        <v>1</v>
      </c>
      <c r="KI8" s="43">
        <v>1</v>
      </c>
      <c r="KJ8" s="43">
        <v>1</v>
      </c>
      <c r="KK8" s="43">
        <v>3</v>
      </c>
      <c r="KL8" s="43">
        <v>2</v>
      </c>
      <c r="KM8" s="43">
        <v>2</v>
      </c>
      <c r="KN8" s="43">
        <v>2</v>
      </c>
      <c r="KO8" s="43">
        <v>0</v>
      </c>
    </row>
    <row r="9" spans="1:301" x14ac:dyDescent="0.4">
      <c r="A9" s="43">
        <v>5</v>
      </c>
      <c r="B9" s="43">
        <v>4</v>
      </c>
      <c r="C9" s="43">
        <v>0</v>
      </c>
      <c r="D9" s="43">
        <v>2</v>
      </c>
      <c r="E9" s="43">
        <v>3</v>
      </c>
      <c r="F9" s="43">
        <v>0</v>
      </c>
      <c r="G9" s="43">
        <v>0</v>
      </c>
      <c r="H9" s="43">
        <v>2</v>
      </c>
      <c r="I9" s="43">
        <v>0</v>
      </c>
      <c r="J9" s="43">
        <v>4</v>
      </c>
      <c r="K9" s="43">
        <v>2</v>
      </c>
      <c r="L9" s="43">
        <v>1</v>
      </c>
      <c r="M9" s="43">
        <v>0</v>
      </c>
      <c r="N9" s="43">
        <v>1</v>
      </c>
      <c r="O9" s="43">
        <v>3</v>
      </c>
      <c r="P9" s="43">
        <v>1</v>
      </c>
      <c r="Q9" s="43">
        <v>2</v>
      </c>
      <c r="R9" s="43">
        <v>0</v>
      </c>
      <c r="S9" s="43">
        <v>0</v>
      </c>
      <c r="T9" s="43">
        <v>3</v>
      </c>
      <c r="U9" s="43">
        <v>0</v>
      </c>
      <c r="V9" s="43">
        <v>2</v>
      </c>
      <c r="W9" s="43">
        <v>1</v>
      </c>
      <c r="X9" s="43">
        <v>1</v>
      </c>
      <c r="Y9" s="43">
        <v>0</v>
      </c>
      <c r="Z9" s="43">
        <v>4</v>
      </c>
      <c r="AA9" s="43">
        <v>1</v>
      </c>
      <c r="AB9" s="43">
        <v>0</v>
      </c>
      <c r="AC9" s="43">
        <v>2</v>
      </c>
      <c r="AD9" s="43">
        <v>1</v>
      </c>
      <c r="AE9" s="43">
        <v>0</v>
      </c>
      <c r="AF9" s="43">
        <v>2</v>
      </c>
      <c r="AG9" s="43">
        <v>1</v>
      </c>
      <c r="AH9" s="43">
        <v>1</v>
      </c>
      <c r="AI9" s="43">
        <v>2</v>
      </c>
      <c r="AJ9" s="43">
        <v>1</v>
      </c>
      <c r="AK9" s="43">
        <v>0</v>
      </c>
      <c r="AL9" s="43">
        <v>2</v>
      </c>
      <c r="AM9" s="43">
        <v>0</v>
      </c>
      <c r="AN9" s="43">
        <v>2</v>
      </c>
      <c r="AO9" s="43">
        <v>4</v>
      </c>
      <c r="AP9" s="43">
        <v>1</v>
      </c>
      <c r="AQ9" s="43">
        <v>0</v>
      </c>
      <c r="AR9" s="43">
        <v>1</v>
      </c>
      <c r="AS9" s="43">
        <v>1</v>
      </c>
      <c r="AT9" s="43">
        <v>0</v>
      </c>
      <c r="AU9" s="43">
        <v>3</v>
      </c>
      <c r="AV9" s="43">
        <v>3</v>
      </c>
      <c r="AW9" s="43">
        <v>0</v>
      </c>
      <c r="AX9" s="43">
        <v>2</v>
      </c>
      <c r="AY9" s="43">
        <v>2</v>
      </c>
      <c r="AZ9" s="43">
        <v>1</v>
      </c>
      <c r="BA9" s="43">
        <v>4</v>
      </c>
      <c r="BB9" s="43">
        <v>1</v>
      </c>
      <c r="BC9" s="43">
        <v>0</v>
      </c>
      <c r="BD9" s="43">
        <v>2</v>
      </c>
      <c r="BE9" s="43">
        <v>0</v>
      </c>
      <c r="BF9" s="43">
        <v>0</v>
      </c>
      <c r="BG9" s="43">
        <v>4</v>
      </c>
      <c r="BH9" s="43">
        <v>0</v>
      </c>
      <c r="BI9" s="43">
        <v>2</v>
      </c>
      <c r="BJ9" s="43">
        <v>2</v>
      </c>
      <c r="BK9" s="43">
        <v>1</v>
      </c>
      <c r="BL9" s="43">
        <v>1</v>
      </c>
      <c r="BM9" s="43">
        <v>3</v>
      </c>
      <c r="BN9" s="43">
        <v>0</v>
      </c>
      <c r="BO9" s="43">
        <v>1</v>
      </c>
      <c r="BP9" s="43">
        <v>3</v>
      </c>
      <c r="BQ9" s="43">
        <v>0</v>
      </c>
      <c r="BR9" s="43">
        <v>0</v>
      </c>
      <c r="BS9" s="43">
        <v>3</v>
      </c>
      <c r="BT9" s="43">
        <v>1</v>
      </c>
      <c r="BU9" s="43">
        <v>2</v>
      </c>
      <c r="BV9" s="43">
        <v>3</v>
      </c>
      <c r="BW9" s="43">
        <v>0</v>
      </c>
      <c r="BX9" s="43">
        <v>0</v>
      </c>
      <c r="BY9" s="43">
        <v>3</v>
      </c>
      <c r="BZ9" s="43">
        <v>2</v>
      </c>
      <c r="CA9" s="43">
        <v>0</v>
      </c>
      <c r="CB9" s="43">
        <v>2</v>
      </c>
      <c r="CC9" s="43">
        <v>1</v>
      </c>
      <c r="CD9" s="43">
        <v>2</v>
      </c>
      <c r="CE9" s="43">
        <v>2</v>
      </c>
      <c r="CF9" s="43">
        <v>0</v>
      </c>
      <c r="CG9" s="43">
        <v>0</v>
      </c>
      <c r="CH9" s="43">
        <v>3</v>
      </c>
      <c r="CI9" s="43">
        <v>1</v>
      </c>
      <c r="CJ9" s="43">
        <v>1</v>
      </c>
      <c r="CK9" s="43">
        <v>2</v>
      </c>
      <c r="CL9" s="43">
        <v>0</v>
      </c>
      <c r="CM9" s="43">
        <v>1</v>
      </c>
      <c r="CN9" s="43">
        <v>3</v>
      </c>
      <c r="CO9" s="43">
        <v>2</v>
      </c>
      <c r="CP9" s="43">
        <v>1</v>
      </c>
      <c r="CQ9" s="43">
        <v>4</v>
      </c>
      <c r="CR9" s="43">
        <v>1</v>
      </c>
      <c r="CS9" s="43">
        <v>0</v>
      </c>
      <c r="CT9" s="43">
        <v>2</v>
      </c>
      <c r="CU9" s="43">
        <v>3</v>
      </c>
      <c r="CV9" s="43">
        <v>0</v>
      </c>
      <c r="CW9" s="43">
        <v>3</v>
      </c>
      <c r="CX9" s="43">
        <v>0</v>
      </c>
      <c r="CY9" s="43">
        <v>0</v>
      </c>
      <c r="CZ9" s="43">
        <v>1</v>
      </c>
      <c r="DA9" s="43">
        <v>0</v>
      </c>
      <c r="DB9" s="43">
        <v>0</v>
      </c>
      <c r="DC9" s="43">
        <v>2</v>
      </c>
      <c r="DD9" s="43">
        <v>0</v>
      </c>
      <c r="DE9" s="43">
        <v>2</v>
      </c>
      <c r="DF9" s="43">
        <v>2</v>
      </c>
      <c r="DG9" s="43">
        <v>1</v>
      </c>
      <c r="DH9" s="43">
        <v>1</v>
      </c>
      <c r="DI9" s="43">
        <v>3</v>
      </c>
      <c r="DJ9" s="43">
        <v>2</v>
      </c>
      <c r="DK9" s="43">
        <v>0</v>
      </c>
      <c r="DL9" s="43">
        <v>1</v>
      </c>
      <c r="DM9" s="43">
        <v>0</v>
      </c>
      <c r="DN9" s="43">
        <v>0</v>
      </c>
      <c r="DO9" s="43">
        <v>1</v>
      </c>
      <c r="DP9" s="43">
        <v>1</v>
      </c>
      <c r="DQ9" s="43">
        <v>0</v>
      </c>
      <c r="DR9" s="43">
        <v>2</v>
      </c>
      <c r="DS9" s="43">
        <v>0</v>
      </c>
      <c r="DT9" s="43">
        <v>2</v>
      </c>
      <c r="DU9" s="43">
        <v>3</v>
      </c>
      <c r="DV9" s="43">
        <v>1</v>
      </c>
      <c r="DW9" s="43">
        <v>2</v>
      </c>
      <c r="DX9" s="43">
        <v>2</v>
      </c>
      <c r="DY9" s="43">
        <v>0</v>
      </c>
      <c r="DZ9" s="43">
        <v>1</v>
      </c>
      <c r="EA9" s="43">
        <v>4</v>
      </c>
      <c r="EB9" s="43">
        <v>1</v>
      </c>
      <c r="EC9" s="43">
        <v>1</v>
      </c>
      <c r="ED9" s="43">
        <v>3</v>
      </c>
      <c r="EE9" s="43">
        <v>0</v>
      </c>
      <c r="EF9" s="43">
        <v>1</v>
      </c>
      <c r="EG9" s="43">
        <v>2</v>
      </c>
      <c r="EH9" s="43">
        <v>1</v>
      </c>
      <c r="EI9" s="43">
        <v>0</v>
      </c>
      <c r="EJ9" s="43">
        <v>4</v>
      </c>
      <c r="EK9" s="43">
        <v>0</v>
      </c>
      <c r="EL9" s="43">
        <v>1</v>
      </c>
      <c r="EM9" s="43">
        <v>3</v>
      </c>
      <c r="EN9" s="43">
        <v>1</v>
      </c>
      <c r="EO9" s="43">
        <v>1</v>
      </c>
      <c r="EP9" s="43">
        <v>0</v>
      </c>
      <c r="EQ9" s="43">
        <v>2</v>
      </c>
      <c r="ER9" s="43">
        <v>0</v>
      </c>
      <c r="ES9" s="43">
        <v>4</v>
      </c>
      <c r="ET9" s="43">
        <v>2</v>
      </c>
      <c r="EU9" s="43">
        <v>0</v>
      </c>
      <c r="EV9" s="43">
        <v>4</v>
      </c>
      <c r="EW9" s="43">
        <v>0</v>
      </c>
      <c r="EX9" s="43">
        <v>1</v>
      </c>
      <c r="EY9" s="43">
        <v>1</v>
      </c>
      <c r="EZ9" s="43">
        <v>1</v>
      </c>
      <c r="FA9" s="43">
        <v>0</v>
      </c>
      <c r="FB9" s="43">
        <v>2</v>
      </c>
      <c r="FC9" s="43">
        <v>3</v>
      </c>
      <c r="FD9" s="43">
        <v>2</v>
      </c>
      <c r="FE9" s="43">
        <v>2</v>
      </c>
      <c r="FF9" s="43">
        <v>1</v>
      </c>
      <c r="FG9" s="43">
        <v>0</v>
      </c>
      <c r="FH9" s="43">
        <v>2</v>
      </c>
      <c r="FI9" s="43">
        <v>0</v>
      </c>
      <c r="FJ9" s="43">
        <v>0</v>
      </c>
      <c r="FK9" s="43">
        <v>1</v>
      </c>
      <c r="FL9" s="43">
        <v>2</v>
      </c>
      <c r="FM9" s="43">
        <v>1</v>
      </c>
      <c r="FN9" s="43">
        <v>3</v>
      </c>
      <c r="FO9" s="43">
        <v>1</v>
      </c>
      <c r="FP9" s="43">
        <v>0</v>
      </c>
      <c r="FQ9" s="43">
        <v>2</v>
      </c>
      <c r="FR9" s="43">
        <v>0</v>
      </c>
      <c r="FS9" s="43">
        <v>1</v>
      </c>
      <c r="FT9" s="43">
        <v>4</v>
      </c>
      <c r="FU9" s="43">
        <v>2</v>
      </c>
      <c r="FV9" s="43">
        <v>1</v>
      </c>
      <c r="FW9" s="43">
        <v>2</v>
      </c>
      <c r="FX9" s="43">
        <v>0</v>
      </c>
      <c r="FY9" s="43">
        <v>0</v>
      </c>
      <c r="FZ9" s="43">
        <v>2</v>
      </c>
      <c r="GA9" s="43">
        <v>1</v>
      </c>
      <c r="GB9" s="43">
        <v>0</v>
      </c>
      <c r="GC9" s="43">
        <v>2</v>
      </c>
      <c r="GD9" s="43">
        <v>3</v>
      </c>
      <c r="GE9" s="43">
        <v>0</v>
      </c>
      <c r="GF9" s="43">
        <v>2</v>
      </c>
      <c r="GG9" s="43">
        <v>0</v>
      </c>
      <c r="GH9" s="43">
        <v>0</v>
      </c>
      <c r="GI9" s="43">
        <v>2</v>
      </c>
      <c r="GJ9" s="43">
        <v>1</v>
      </c>
      <c r="GK9" s="43">
        <v>0</v>
      </c>
      <c r="GL9" s="43">
        <v>1</v>
      </c>
      <c r="GM9" s="43">
        <v>0</v>
      </c>
      <c r="GN9" s="43">
        <v>0</v>
      </c>
      <c r="GO9" s="43">
        <v>3</v>
      </c>
      <c r="GP9" s="43">
        <v>0</v>
      </c>
      <c r="GQ9" s="43">
        <v>0</v>
      </c>
      <c r="GR9" s="43">
        <v>1</v>
      </c>
      <c r="GS9" s="43">
        <v>0</v>
      </c>
      <c r="GT9" s="43">
        <v>1</v>
      </c>
      <c r="GU9" s="43">
        <v>4</v>
      </c>
      <c r="GV9" s="43">
        <v>1</v>
      </c>
      <c r="GW9" s="43">
        <v>1</v>
      </c>
      <c r="GX9" s="43">
        <v>3</v>
      </c>
      <c r="GY9" s="43">
        <v>1</v>
      </c>
      <c r="GZ9" s="43">
        <v>1</v>
      </c>
      <c r="HA9" s="43">
        <v>2</v>
      </c>
      <c r="HB9" s="43">
        <v>1</v>
      </c>
      <c r="HC9" s="43">
        <v>0</v>
      </c>
      <c r="HD9" s="43">
        <v>3</v>
      </c>
      <c r="HE9" s="43">
        <v>1</v>
      </c>
      <c r="HF9" s="43">
        <v>0</v>
      </c>
      <c r="HG9" s="43">
        <v>4</v>
      </c>
      <c r="HH9" s="43">
        <v>0</v>
      </c>
      <c r="HI9" s="43">
        <v>0</v>
      </c>
      <c r="HJ9" s="43">
        <v>2</v>
      </c>
      <c r="HK9" s="43">
        <v>0</v>
      </c>
      <c r="HL9" s="43">
        <v>1</v>
      </c>
      <c r="HM9" s="43">
        <v>3</v>
      </c>
      <c r="HN9" s="43">
        <v>1</v>
      </c>
      <c r="HO9" s="43">
        <v>1</v>
      </c>
      <c r="HP9" s="43">
        <v>3</v>
      </c>
      <c r="HQ9" s="43">
        <v>1</v>
      </c>
      <c r="HR9" s="43">
        <v>0</v>
      </c>
      <c r="HS9" s="43">
        <v>2</v>
      </c>
      <c r="HT9" s="43">
        <v>1</v>
      </c>
      <c r="HU9" s="43">
        <v>3</v>
      </c>
      <c r="HV9" s="43">
        <v>2</v>
      </c>
      <c r="HW9" s="43">
        <v>1</v>
      </c>
      <c r="HX9" s="43">
        <v>1</v>
      </c>
      <c r="HY9" s="43">
        <v>2</v>
      </c>
      <c r="HZ9" s="43">
        <v>0</v>
      </c>
      <c r="IA9" s="43">
        <v>0</v>
      </c>
      <c r="IB9" s="43">
        <v>3</v>
      </c>
      <c r="IC9" s="43">
        <v>0</v>
      </c>
      <c r="ID9" s="43">
        <v>0</v>
      </c>
      <c r="IE9" s="43">
        <v>4</v>
      </c>
      <c r="IF9" s="43">
        <v>1</v>
      </c>
      <c r="IG9" s="43">
        <v>0</v>
      </c>
      <c r="IH9" s="43">
        <v>2</v>
      </c>
      <c r="II9" s="43">
        <v>1</v>
      </c>
      <c r="IJ9" s="43">
        <v>1</v>
      </c>
      <c r="IK9" s="43">
        <v>2</v>
      </c>
      <c r="IL9" s="43">
        <v>2</v>
      </c>
      <c r="IM9" s="43">
        <v>0</v>
      </c>
      <c r="IN9" s="43">
        <v>2</v>
      </c>
      <c r="IO9" s="43">
        <v>0</v>
      </c>
      <c r="IP9" s="43">
        <v>1</v>
      </c>
      <c r="IQ9" s="43">
        <v>2</v>
      </c>
      <c r="IR9" s="43">
        <v>3</v>
      </c>
      <c r="IS9" s="43">
        <v>0</v>
      </c>
      <c r="IT9" s="43">
        <v>3</v>
      </c>
      <c r="IU9" s="43">
        <v>0</v>
      </c>
      <c r="IV9" s="43">
        <v>0</v>
      </c>
      <c r="IW9" s="43">
        <v>2</v>
      </c>
      <c r="IX9" s="43">
        <v>0</v>
      </c>
      <c r="IY9" s="43">
        <v>1</v>
      </c>
      <c r="IZ9" s="43">
        <v>2</v>
      </c>
      <c r="JA9" s="43">
        <v>1</v>
      </c>
      <c r="JB9" s="43">
        <v>0</v>
      </c>
      <c r="JC9" s="43">
        <v>2</v>
      </c>
      <c r="JD9" s="43">
        <v>0</v>
      </c>
      <c r="JE9" s="43">
        <v>1</v>
      </c>
      <c r="JF9" s="43">
        <v>4</v>
      </c>
      <c r="JG9" s="43">
        <v>2</v>
      </c>
      <c r="JH9" s="43">
        <v>2</v>
      </c>
      <c r="JI9" s="43">
        <v>1</v>
      </c>
      <c r="JJ9" s="43">
        <v>0</v>
      </c>
      <c r="JK9" s="43">
        <v>0</v>
      </c>
      <c r="JL9" s="43">
        <v>3</v>
      </c>
      <c r="JM9" s="43">
        <v>0</v>
      </c>
      <c r="JN9" s="43">
        <v>0</v>
      </c>
      <c r="JO9" s="43">
        <v>0</v>
      </c>
      <c r="JP9" s="43">
        <v>0</v>
      </c>
      <c r="JQ9" s="43">
        <v>0</v>
      </c>
      <c r="JR9" s="43">
        <v>2</v>
      </c>
      <c r="JS9" s="43">
        <v>3</v>
      </c>
      <c r="JT9" s="43">
        <v>1</v>
      </c>
      <c r="JU9" s="43">
        <v>3</v>
      </c>
      <c r="JV9" s="43">
        <v>1</v>
      </c>
      <c r="JW9" s="43">
        <v>0</v>
      </c>
      <c r="JX9" s="43">
        <v>3</v>
      </c>
      <c r="JY9" s="43">
        <v>1</v>
      </c>
      <c r="JZ9" s="43">
        <v>0</v>
      </c>
      <c r="KA9" s="43">
        <v>2</v>
      </c>
      <c r="KB9" s="43">
        <v>0</v>
      </c>
      <c r="KC9" s="43">
        <v>1</v>
      </c>
      <c r="KD9" s="43">
        <v>3</v>
      </c>
      <c r="KE9" s="43">
        <v>2</v>
      </c>
      <c r="KF9" s="43">
        <v>0</v>
      </c>
      <c r="KG9" s="43">
        <v>2</v>
      </c>
      <c r="KH9" s="43">
        <v>0</v>
      </c>
      <c r="KI9" s="43">
        <v>1</v>
      </c>
      <c r="KJ9" s="43">
        <v>2</v>
      </c>
      <c r="KK9" s="43">
        <v>1</v>
      </c>
      <c r="KL9" s="43">
        <v>1</v>
      </c>
      <c r="KM9" s="43">
        <v>1</v>
      </c>
      <c r="KN9" s="43">
        <v>1</v>
      </c>
      <c r="KO9" s="43">
        <v>0</v>
      </c>
    </row>
    <row r="10" spans="1:301" x14ac:dyDescent="0.4">
      <c r="A10" s="43">
        <v>6</v>
      </c>
      <c r="B10" s="43">
        <v>3</v>
      </c>
      <c r="C10" s="43">
        <v>2</v>
      </c>
      <c r="D10" s="43">
        <v>1</v>
      </c>
      <c r="E10" s="43">
        <v>2</v>
      </c>
      <c r="F10" s="43">
        <v>0</v>
      </c>
      <c r="G10" s="43">
        <v>1</v>
      </c>
      <c r="H10" s="43">
        <v>3</v>
      </c>
      <c r="I10" s="43">
        <v>1</v>
      </c>
      <c r="J10" s="43">
        <v>2</v>
      </c>
      <c r="K10" s="43">
        <v>1</v>
      </c>
      <c r="L10" s="43">
        <v>3</v>
      </c>
      <c r="M10" s="43">
        <v>1</v>
      </c>
      <c r="N10" s="43">
        <v>3</v>
      </c>
      <c r="O10" s="43">
        <v>1</v>
      </c>
      <c r="P10" s="43">
        <v>0</v>
      </c>
      <c r="Q10" s="43">
        <v>4</v>
      </c>
      <c r="R10" s="43">
        <v>1</v>
      </c>
      <c r="S10" s="43">
        <v>1</v>
      </c>
      <c r="T10" s="43">
        <v>2</v>
      </c>
      <c r="U10" s="43">
        <v>1</v>
      </c>
      <c r="V10" s="43">
        <v>0</v>
      </c>
      <c r="W10" s="43">
        <v>0</v>
      </c>
      <c r="X10" s="43">
        <v>2</v>
      </c>
      <c r="Y10" s="43">
        <v>0</v>
      </c>
      <c r="Z10" s="43">
        <v>0</v>
      </c>
      <c r="AA10" s="43">
        <v>0</v>
      </c>
      <c r="AB10" s="43">
        <v>1</v>
      </c>
      <c r="AC10" s="43">
        <v>1</v>
      </c>
      <c r="AD10" s="43">
        <v>1</v>
      </c>
      <c r="AE10" s="43">
        <v>0</v>
      </c>
      <c r="AF10" s="43">
        <v>2</v>
      </c>
      <c r="AG10" s="43">
        <v>1</v>
      </c>
      <c r="AH10" s="43">
        <v>2</v>
      </c>
      <c r="AI10" s="43">
        <v>3</v>
      </c>
      <c r="AJ10" s="43">
        <v>2</v>
      </c>
      <c r="AK10" s="43">
        <v>2</v>
      </c>
      <c r="AL10" s="43">
        <v>3</v>
      </c>
      <c r="AM10" s="43">
        <v>2</v>
      </c>
      <c r="AN10" s="43">
        <v>0</v>
      </c>
      <c r="AO10" s="43">
        <v>2</v>
      </c>
      <c r="AP10" s="43">
        <v>2</v>
      </c>
      <c r="AQ10" s="43">
        <v>0</v>
      </c>
      <c r="AR10" s="43">
        <v>1</v>
      </c>
      <c r="AS10" s="43">
        <v>1</v>
      </c>
      <c r="AT10" s="43">
        <v>1</v>
      </c>
      <c r="AU10" s="43">
        <v>4</v>
      </c>
      <c r="AV10" s="43">
        <v>1</v>
      </c>
      <c r="AW10" s="43">
        <v>1</v>
      </c>
      <c r="AX10" s="43">
        <v>2</v>
      </c>
      <c r="AY10" s="43">
        <v>1</v>
      </c>
      <c r="AZ10" s="43">
        <v>1</v>
      </c>
      <c r="BA10" s="43">
        <v>2</v>
      </c>
      <c r="BB10" s="43">
        <v>1</v>
      </c>
      <c r="BC10" s="43">
        <v>2</v>
      </c>
      <c r="BD10" s="43">
        <v>1</v>
      </c>
      <c r="BE10" s="43">
        <v>0</v>
      </c>
      <c r="BF10" s="43">
        <v>0</v>
      </c>
      <c r="BG10" s="43">
        <v>3</v>
      </c>
      <c r="BH10" s="43">
        <v>1</v>
      </c>
      <c r="BI10" s="43">
        <v>0</v>
      </c>
      <c r="BJ10" s="43">
        <v>1</v>
      </c>
      <c r="BK10" s="43">
        <v>1</v>
      </c>
      <c r="BL10" s="43">
        <v>0</v>
      </c>
      <c r="BM10" s="43">
        <v>2</v>
      </c>
      <c r="BN10" s="43">
        <v>0</v>
      </c>
      <c r="BO10" s="43">
        <v>1</v>
      </c>
      <c r="BP10" s="43">
        <v>4</v>
      </c>
      <c r="BQ10" s="43">
        <v>1</v>
      </c>
      <c r="BR10" s="43">
        <v>1</v>
      </c>
      <c r="BS10" s="43">
        <v>2</v>
      </c>
      <c r="BT10" s="43">
        <v>0</v>
      </c>
      <c r="BU10" s="43">
        <v>0</v>
      </c>
      <c r="BV10" s="43">
        <v>2</v>
      </c>
      <c r="BW10" s="43">
        <v>3</v>
      </c>
      <c r="BX10" s="43">
        <v>0</v>
      </c>
      <c r="BY10" s="43">
        <v>2</v>
      </c>
      <c r="BZ10" s="43">
        <v>0</v>
      </c>
      <c r="CA10" s="43">
        <v>0</v>
      </c>
      <c r="CB10" s="43">
        <v>2</v>
      </c>
      <c r="CC10" s="43">
        <v>1</v>
      </c>
      <c r="CD10" s="43">
        <v>0</v>
      </c>
      <c r="CE10" s="43">
        <v>2</v>
      </c>
      <c r="CF10" s="43">
        <v>1</v>
      </c>
      <c r="CG10" s="43">
        <v>0</v>
      </c>
      <c r="CH10" s="43">
        <v>3</v>
      </c>
      <c r="CI10" s="43">
        <v>1</v>
      </c>
      <c r="CJ10" s="43">
        <v>0</v>
      </c>
      <c r="CK10" s="43">
        <v>2</v>
      </c>
      <c r="CL10" s="43">
        <v>0</v>
      </c>
      <c r="CM10" s="43">
        <v>1</v>
      </c>
      <c r="CN10" s="43">
        <v>1</v>
      </c>
      <c r="CO10" s="43">
        <v>2</v>
      </c>
      <c r="CP10" s="43">
        <v>1</v>
      </c>
      <c r="CQ10" s="43">
        <v>1</v>
      </c>
      <c r="CR10" s="43">
        <v>0</v>
      </c>
      <c r="CS10" s="43">
        <v>1</v>
      </c>
      <c r="CT10" s="43">
        <v>2</v>
      </c>
      <c r="CU10" s="43">
        <v>2</v>
      </c>
      <c r="CV10" s="43">
        <v>2</v>
      </c>
      <c r="CW10" s="43">
        <v>2</v>
      </c>
      <c r="CX10" s="43">
        <v>3</v>
      </c>
      <c r="CY10" s="43">
        <v>0</v>
      </c>
      <c r="CZ10" s="43">
        <v>3</v>
      </c>
      <c r="DA10" s="43">
        <v>0</v>
      </c>
      <c r="DB10" s="43">
        <v>0</v>
      </c>
      <c r="DC10" s="43">
        <v>1</v>
      </c>
      <c r="DD10" s="43">
        <v>0</v>
      </c>
      <c r="DE10" s="43">
        <v>0</v>
      </c>
      <c r="DF10" s="43">
        <v>4</v>
      </c>
      <c r="DG10" s="43">
        <v>1</v>
      </c>
      <c r="DH10" s="43">
        <v>0</v>
      </c>
      <c r="DI10" s="43">
        <v>2</v>
      </c>
      <c r="DJ10" s="43">
        <v>2</v>
      </c>
      <c r="DK10" s="43">
        <v>1</v>
      </c>
      <c r="DL10" s="43">
        <v>3</v>
      </c>
      <c r="DM10" s="43">
        <v>0</v>
      </c>
      <c r="DN10" s="43">
        <v>0</v>
      </c>
      <c r="DO10" s="43">
        <v>2</v>
      </c>
      <c r="DP10" s="43">
        <v>2</v>
      </c>
      <c r="DQ10" s="43">
        <v>0</v>
      </c>
      <c r="DR10" s="43">
        <v>3</v>
      </c>
      <c r="DS10" s="43">
        <v>1</v>
      </c>
      <c r="DT10" s="43">
        <v>2</v>
      </c>
      <c r="DU10" s="43">
        <v>4</v>
      </c>
      <c r="DV10" s="43">
        <v>3</v>
      </c>
      <c r="DW10" s="43">
        <v>0</v>
      </c>
      <c r="DX10" s="43">
        <v>3</v>
      </c>
      <c r="DY10" s="43">
        <v>0</v>
      </c>
      <c r="DZ10" s="43">
        <v>0</v>
      </c>
      <c r="EA10" s="43">
        <v>4</v>
      </c>
      <c r="EB10" s="43">
        <v>0</v>
      </c>
      <c r="EC10" s="43">
        <v>1</v>
      </c>
      <c r="ED10" s="43">
        <v>3</v>
      </c>
      <c r="EE10" s="43">
        <v>2</v>
      </c>
      <c r="EF10" s="43">
        <v>1</v>
      </c>
      <c r="EG10" s="43">
        <v>3</v>
      </c>
      <c r="EH10" s="43">
        <v>2</v>
      </c>
      <c r="EI10" s="43">
        <v>1</v>
      </c>
      <c r="EJ10" s="43">
        <v>4</v>
      </c>
      <c r="EK10" s="43">
        <v>2</v>
      </c>
      <c r="EL10" s="43">
        <v>0</v>
      </c>
      <c r="EM10" s="43">
        <v>2</v>
      </c>
      <c r="EN10" s="43">
        <v>3</v>
      </c>
      <c r="EO10" s="43">
        <v>1</v>
      </c>
      <c r="EP10" s="43">
        <v>4</v>
      </c>
      <c r="EQ10" s="43">
        <v>0</v>
      </c>
      <c r="ER10" s="43">
        <v>0</v>
      </c>
      <c r="ES10" s="43">
        <v>1</v>
      </c>
      <c r="ET10" s="43">
        <v>1</v>
      </c>
      <c r="EU10" s="43">
        <v>0</v>
      </c>
      <c r="EV10" s="43">
        <v>1</v>
      </c>
      <c r="EW10" s="43">
        <v>2</v>
      </c>
      <c r="EX10" s="43">
        <v>2</v>
      </c>
      <c r="EY10" s="43">
        <v>2</v>
      </c>
      <c r="EZ10" s="43">
        <v>0</v>
      </c>
      <c r="FA10" s="43">
        <v>3</v>
      </c>
      <c r="FB10" s="43">
        <v>2</v>
      </c>
      <c r="FC10" s="43">
        <v>2</v>
      </c>
      <c r="FD10" s="43">
        <v>0</v>
      </c>
      <c r="FE10" s="43">
        <v>4</v>
      </c>
      <c r="FF10" s="43">
        <v>1</v>
      </c>
      <c r="FG10" s="43">
        <v>0</v>
      </c>
      <c r="FH10" s="43">
        <v>1</v>
      </c>
      <c r="FI10" s="43">
        <v>1</v>
      </c>
      <c r="FJ10" s="43">
        <v>1</v>
      </c>
      <c r="FK10" s="43">
        <v>4</v>
      </c>
      <c r="FL10" s="43">
        <v>1</v>
      </c>
      <c r="FM10" s="43">
        <v>0</v>
      </c>
      <c r="FN10" s="43">
        <v>1</v>
      </c>
      <c r="FO10" s="43">
        <v>1</v>
      </c>
      <c r="FP10" s="43">
        <v>0</v>
      </c>
      <c r="FQ10" s="43">
        <v>1</v>
      </c>
      <c r="FR10" s="43">
        <v>1</v>
      </c>
      <c r="FS10" s="43">
        <v>1</v>
      </c>
      <c r="FT10" s="43">
        <v>3</v>
      </c>
      <c r="FU10" s="43">
        <v>1</v>
      </c>
      <c r="FV10" s="43">
        <v>0</v>
      </c>
      <c r="FW10" s="43">
        <v>2</v>
      </c>
      <c r="FX10" s="43">
        <v>2</v>
      </c>
      <c r="FY10" s="43">
        <v>1</v>
      </c>
      <c r="FZ10" s="43">
        <v>2</v>
      </c>
      <c r="GA10" s="43">
        <v>1</v>
      </c>
      <c r="GB10" s="43">
        <v>2</v>
      </c>
      <c r="GC10" s="43">
        <v>3</v>
      </c>
      <c r="GD10" s="43">
        <v>1</v>
      </c>
      <c r="GE10" s="43">
        <v>0</v>
      </c>
      <c r="GF10" s="43">
        <v>4</v>
      </c>
      <c r="GG10" s="43">
        <v>1</v>
      </c>
      <c r="GH10" s="43">
        <v>0</v>
      </c>
      <c r="GI10" s="43">
        <v>3</v>
      </c>
      <c r="GJ10" s="43">
        <v>0</v>
      </c>
      <c r="GK10" s="43">
        <v>0</v>
      </c>
      <c r="GL10" s="43">
        <v>2</v>
      </c>
      <c r="GM10" s="43">
        <v>1</v>
      </c>
      <c r="GN10" s="43">
        <v>1</v>
      </c>
      <c r="GO10" s="43">
        <v>1</v>
      </c>
      <c r="GP10" s="43">
        <v>1</v>
      </c>
      <c r="GQ10" s="43">
        <v>0</v>
      </c>
      <c r="GR10" s="43">
        <v>3</v>
      </c>
      <c r="GS10" s="43">
        <v>0</v>
      </c>
      <c r="GT10" s="43">
        <v>1</v>
      </c>
      <c r="GU10" s="43">
        <v>2</v>
      </c>
      <c r="GV10" s="43">
        <v>2</v>
      </c>
      <c r="GW10" s="43">
        <v>0</v>
      </c>
      <c r="GX10" s="43">
        <v>3</v>
      </c>
      <c r="GY10" s="43">
        <v>1</v>
      </c>
      <c r="GZ10" s="43">
        <v>0</v>
      </c>
      <c r="HA10" s="43">
        <v>2</v>
      </c>
      <c r="HB10" s="43">
        <v>0</v>
      </c>
      <c r="HC10" s="43">
        <v>0</v>
      </c>
      <c r="HD10" s="43">
        <v>3</v>
      </c>
      <c r="HE10" s="43">
        <v>1</v>
      </c>
      <c r="HF10" s="43">
        <v>0</v>
      </c>
      <c r="HG10" s="43">
        <v>3</v>
      </c>
      <c r="HH10" s="43">
        <v>0</v>
      </c>
      <c r="HI10" s="43">
        <v>3</v>
      </c>
      <c r="HJ10" s="43">
        <v>2</v>
      </c>
      <c r="HK10" s="43">
        <v>1</v>
      </c>
      <c r="HL10" s="43">
        <v>0</v>
      </c>
      <c r="HM10" s="43">
        <v>2</v>
      </c>
      <c r="HN10" s="43">
        <v>0</v>
      </c>
      <c r="HO10" s="43">
        <v>1</v>
      </c>
      <c r="HP10" s="43">
        <v>2</v>
      </c>
      <c r="HQ10" s="43">
        <v>1</v>
      </c>
      <c r="HR10" s="43">
        <v>1</v>
      </c>
      <c r="HS10" s="43">
        <v>2</v>
      </c>
      <c r="HT10" s="43">
        <v>1</v>
      </c>
      <c r="HU10" s="43">
        <v>0</v>
      </c>
      <c r="HV10" s="43">
        <v>4</v>
      </c>
      <c r="HW10" s="43">
        <v>0</v>
      </c>
      <c r="HX10" s="43">
        <v>0</v>
      </c>
      <c r="HY10" s="43">
        <v>2</v>
      </c>
      <c r="HZ10" s="43">
        <v>1</v>
      </c>
      <c r="IA10" s="43">
        <v>1</v>
      </c>
      <c r="IB10" s="43">
        <v>3</v>
      </c>
      <c r="IC10" s="43">
        <v>1</v>
      </c>
      <c r="ID10" s="43">
        <v>0</v>
      </c>
      <c r="IE10" s="43">
        <v>3</v>
      </c>
      <c r="IF10" s="43">
        <v>3</v>
      </c>
      <c r="IG10" s="43">
        <v>2</v>
      </c>
      <c r="IH10" s="43">
        <v>2</v>
      </c>
      <c r="II10" s="43">
        <v>0</v>
      </c>
      <c r="IJ10" s="43">
        <v>0</v>
      </c>
      <c r="IK10" s="43">
        <v>4</v>
      </c>
      <c r="IL10" s="43">
        <v>0</v>
      </c>
      <c r="IM10" s="43">
        <v>0</v>
      </c>
      <c r="IN10" s="43">
        <v>2</v>
      </c>
      <c r="IO10" s="43">
        <v>0</v>
      </c>
      <c r="IP10" s="43">
        <v>0</v>
      </c>
      <c r="IQ10" s="43">
        <v>2</v>
      </c>
      <c r="IR10" s="43">
        <v>2</v>
      </c>
      <c r="IS10" s="43">
        <v>0</v>
      </c>
      <c r="IT10" s="43">
        <v>4</v>
      </c>
      <c r="IU10" s="43">
        <v>0</v>
      </c>
      <c r="IV10" s="43">
        <v>2</v>
      </c>
      <c r="IW10" s="43">
        <v>0</v>
      </c>
      <c r="IX10" s="43">
        <v>3</v>
      </c>
      <c r="IY10" s="43">
        <v>1</v>
      </c>
      <c r="IZ10" s="43">
        <v>2</v>
      </c>
      <c r="JA10" s="43">
        <v>2</v>
      </c>
      <c r="JB10" s="43">
        <v>2</v>
      </c>
      <c r="JC10" s="43">
        <v>3</v>
      </c>
      <c r="JD10" s="43">
        <v>1</v>
      </c>
      <c r="JE10" s="43">
        <v>1</v>
      </c>
      <c r="JF10" s="43">
        <v>3</v>
      </c>
      <c r="JG10" s="43">
        <v>1</v>
      </c>
      <c r="JH10" s="43">
        <v>2</v>
      </c>
      <c r="JI10" s="43">
        <v>2</v>
      </c>
      <c r="JJ10" s="43">
        <v>0</v>
      </c>
      <c r="JK10" s="43">
        <v>1</v>
      </c>
      <c r="JL10" s="43">
        <v>1</v>
      </c>
      <c r="JM10" s="43">
        <v>2</v>
      </c>
      <c r="JN10" s="43">
        <v>0</v>
      </c>
      <c r="JO10" s="43">
        <v>4</v>
      </c>
      <c r="JP10" s="43">
        <v>1</v>
      </c>
      <c r="JQ10" s="43">
        <v>1</v>
      </c>
      <c r="JR10" s="43">
        <v>2</v>
      </c>
      <c r="JS10" s="43">
        <v>1</v>
      </c>
      <c r="JT10" s="43">
        <v>0</v>
      </c>
      <c r="JU10" s="43">
        <v>2</v>
      </c>
      <c r="JV10" s="43">
        <v>2</v>
      </c>
      <c r="JW10" s="43">
        <v>1</v>
      </c>
      <c r="JX10" s="43">
        <v>3</v>
      </c>
      <c r="JY10" s="43">
        <v>0</v>
      </c>
      <c r="JZ10" s="43">
        <v>1</v>
      </c>
      <c r="KA10" s="43">
        <v>3</v>
      </c>
      <c r="KB10" s="43">
        <v>2</v>
      </c>
      <c r="KC10" s="43">
        <v>2</v>
      </c>
      <c r="KD10" s="43">
        <v>2</v>
      </c>
      <c r="KE10" s="43">
        <v>0</v>
      </c>
      <c r="KF10" s="43">
        <v>2</v>
      </c>
      <c r="KG10" s="43">
        <v>1</v>
      </c>
      <c r="KH10" s="43">
        <v>1</v>
      </c>
      <c r="KI10" s="43">
        <v>0</v>
      </c>
      <c r="KJ10" s="43">
        <v>3</v>
      </c>
      <c r="KK10" s="43">
        <v>1</v>
      </c>
      <c r="KL10" s="43">
        <v>0</v>
      </c>
      <c r="KM10" s="43">
        <v>2</v>
      </c>
      <c r="KN10" s="43">
        <v>0</v>
      </c>
      <c r="KO10" s="43">
        <v>2</v>
      </c>
    </row>
    <row r="11" spans="1:301" x14ac:dyDescent="0.4">
      <c r="A11" s="43">
        <v>7</v>
      </c>
      <c r="B11" s="43">
        <v>2</v>
      </c>
      <c r="C11" s="43">
        <v>1</v>
      </c>
      <c r="D11" s="43">
        <v>0</v>
      </c>
      <c r="E11" s="43">
        <v>3</v>
      </c>
      <c r="F11" s="43">
        <v>0</v>
      </c>
      <c r="G11" s="43">
        <v>1</v>
      </c>
      <c r="H11" s="43">
        <v>1</v>
      </c>
      <c r="I11" s="43">
        <v>1</v>
      </c>
      <c r="J11" s="43">
        <v>1</v>
      </c>
      <c r="K11" s="43">
        <v>4</v>
      </c>
      <c r="L11" s="43">
        <v>1</v>
      </c>
      <c r="M11" s="43">
        <v>1</v>
      </c>
      <c r="N11" s="43">
        <v>3</v>
      </c>
      <c r="O11" s="43">
        <v>2</v>
      </c>
      <c r="P11" s="43">
        <v>2</v>
      </c>
      <c r="Q11" s="43">
        <v>3</v>
      </c>
      <c r="R11" s="43">
        <v>1</v>
      </c>
      <c r="S11" s="43">
        <v>1</v>
      </c>
      <c r="T11" s="43">
        <v>4</v>
      </c>
      <c r="U11" s="43">
        <v>0</v>
      </c>
      <c r="V11" s="43">
        <v>0</v>
      </c>
      <c r="W11" s="43">
        <v>0</v>
      </c>
      <c r="X11" s="43">
        <v>1</v>
      </c>
      <c r="Y11" s="43">
        <v>0</v>
      </c>
      <c r="Z11" s="43">
        <v>3</v>
      </c>
      <c r="AA11" s="43">
        <v>3</v>
      </c>
      <c r="AB11" s="43">
        <v>1</v>
      </c>
      <c r="AC11" s="43">
        <v>4</v>
      </c>
      <c r="AD11" s="43">
        <v>1</v>
      </c>
      <c r="AE11" s="43">
        <v>0</v>
      </c>
      <c r="AF11" s="43">
        <v>2</v>
      </c>
      <c r="AG11" s="43">
        <v>0</v>
      </c>
      <c r="AH11" s="43">
        <v>0</v>
      </c>
      <c r="AI11" s="43">
        <v>1</v>
      </c>
      <c r="AJ11" s="43">
        <v>0</v>
      </c>
      <c r="AK11" s="43">
        <v>3</v>
      </c>
      <c r="AL11" s="43">
        <v>3</v>
      </c>
      <c r="AM11" s="43">
        <v>2</v>
      </c>
      <c r="AN11" s="43">
        <v>2</v>
      </c>
      <c r="AO11" s="43">
        <v>2</v>
      </c>
      <c r="AP11" s="43">
        <v>1</v>
      </c>
      <c r="AQ11" s="43">
        <v>1</v>
      </c>
      <c r="AR11" s="43">
        <v>4</v>
      </c>
      <c r="AS11" s="43">
        <v>2</v>
      </c>
      <c r="AT11" s="43">
        <v>1</v>
      </c>
      <c r="AU11" s="43">
        <v>4</v>
      </c>
      <c r="AV11" s="43">
        <v>0</v>
      </c>
      <c r="AW11" s="43">
        <v>1</v>
      </c>
      <c r="AX11" s="43">
        <v>3</v>
      </c>
      <c r="AY11" s="43">
        <v>1</v>
      </c>
      <c r="AZ11" s="43">
        <v>1</v>
      </c>
      <c r="BA11" s="43">
        <v>3</v>
      </c>
      <c r="BB11" s="43">
        <v>0</v>
      </c>
      <c r="BC11" s="43">
        <v>3</v>
      </c>
      <c r="BD11" s="43">
        <v>1</v>
      </c>
      <c r="BE11" s="43">
        <v>1</v>
      </c>
      <c r="BF11" s="43">
        <v>1</v>
      </c>
      <c r="BG11" s="43">
        <v>4</v>
      </c>
      <c r="BH11" s="43">
        <v>1</v>
      </c>
      <c r="BI11" s="43">
        <v>1</v>
      </c>
      <c r="BJ11" s="43">
        <v>3</v>
      </c>
      <c r="BK11" s="43">
        <v>0</v>
      </c>
      <c r="BL11" s="43">
        <v>0</v>
      </c>
      <c r="BM11" s="43">
        <v>2</v>
      </c>
      <c r="BN11" s="43">
        <v>1</v>
      </c>
      <c r="BO11" s="43">
        <v>0</v>
      </c>
      <c r="BP11" s="43">
        <v>3</v>
      </c>
      <c r="BQ11" s="43">
        <v>2</v>
      </c>
      <c r="BR11" s="43">
        <v>1</v>
      </c>
      <c r="BS11" s="43">
        <v>3</v>
      </c>
      <c r="BT11" s="43">
        <v>2</v>
      </c>
      <c r="BU11" s="43">
        <v>0</v>
      </c>
      <c r="BV11" s="43">
        <v>2</v>
      </c>
      <c r="BW11" s="43">
        <v>0</v>
      </c>
      <c r="BX11" s="43">
        <v>1</v>
      </c>
      <c r="BY11" s="43">
        <v>3</v>
      </c>
      <c r="BZ11" s="43">
        <v>0</v>
      </c>
      <c r="CA11" s="43">
        <v>1</v>
      </c>
      <c r="CB11" s="43">
        <v>4</v>
      </c>
      <c r="CC11" s="43">
        <v>0</v>
      </c>
      <c r="CD11" s="43">
        <v>0</v>
      </c>
      <c r="CE11" s="43">
        <v>2</v>
      </c>
      <c r="CF11" s="43">
        <v>0</v>
      </c>
      <c r="CG11" s="43">
        <v>0</v>
      </c>
      <c r="CH11" s="43">
        <v>3</v>
      </c>
      <c r="CI11" s="43">
        <v>1</v>
      </c>
      <c r="CJ11" s="43">
        <v>1</v>
      </c>
      <c r="CK11" s="43">
        <v>1</v>
      </c>
      <c r="CL11" s="43">
        <v>0</v>
      </c>
      <c r="CM11" s="43">
        <v>0</v>
      </c>
      <c r="CN11" s="43">
        <v>2</v>
      </c>
      <c r="CO11" s="43">
        <v>0</v>
      </c>
      <c r="CP11" s="43">
        <v>0</v>
      </c>
      <c r="CQ11" s="43">
        <v>2</v>
      </c>
      <c r="CR11" s="43">
        <v>0</v>
      </c>
      <c r="CS11" s="43">
        <v>1</v>
      </c>
      <c r="CT11" s="43">
        <v>3</v>
      </c>
      <c r="CU11" s="43">
        <v>0</v>
      </c>
      <c r="CV11" s="43">
        <v>1</v>
      </c>
      <c r="CW11" s="43">
        <v>2</v>
      </c>
      <c r="CX11" s="43">
        <v>1</v>
      </c>
      <c r="CY11" s="43">
        <v>1</v>
      </c>
      <c r="CZ11" s="43">
        <v>2</v>
      </c>
      <c r="DA11" s="43">
        <v>1</v>
      </c>
      <c r="DB11" s="43">
        <v>1</v>
      </c>
      <c r="DC11" s="43">
        <v>3</v>
      </c>
      <c r="DD11" s="43">
        <v>0</v>
      </c>
      <c r="DE11" s="43">
        <v>1</v>
      </c>
      <c r="DF11" s="43">
        <v>3</v>
      </c>
      <c r="DG11" s="43">
        <v>1</v>
      </c>
      <c r="DH11" s="43">
        <v>1</v>
      </c>
      <c r="DI11" s="43">
        <v>2</v>
      </c>
      <c r="DJ11" s="43">
        <v>2</v>
      </c>
      <c r="DK11" s="43">
        <v>1</v>
      </c>
      <c r="DL11" s="43">
        <v>3</v>
      </c>
      <c r="DM11" s="43">
        <v>2</v>
      </c>
      <c r="DN11" s="43">
        <v>0</v>
      </c>
      <c r="DO11" s="43">
        <v>3</v>
      </c>
      <c r="DP11" s="43">
        <v>1</v>
      </c>
      <c r="DQ11" s="43">
        <v>1</v>
      </c>
      <c r="DR11" s="43">
        <v>2</v>
      </c>
      <c r="DS11" s="43">
        <v>1</v>
      </c>
      <c r="DT11" s="43">
        <v>0</v>
      </c>
      <c r="DU11" s="43">
        <v>4</v>
      </c>
      <c r="DV11" s="43">
        <v>0</v>
      </c>
      <c r="DW11" s="43">
        <v>2</v>
      </c>
      <c r="DX11" s="43">
        <v>3</v>
      </c>
      <c r="DY11" s="43">
        <v>2</v>
      </c>
      <c r="DZ11" s="43">
        <v>2</v>
      </c>
      <c r="EA11" s="43">
        <v>4</v>
      </c>
      <c r="EB11" s="43">
        <v>1</v>
      </c>
      <c r="EC11" s="43">
        <v>0</v>
      </c>
      <c r="ED11" s="43">
        <v>1</v>
      </c>
      <c r="EE11" s="43">
        <v>0</v>
      </c>
      <c r="EF11" s="43">
        <v>0</v>
      </c>
      <c r="EG11" s="43">
        <v>3</v>
      </c>
      <c r="EH11" s="43">
        <v>1</v>
      </c>
      <c r="EI11" s="43">
        <v>0</v>
      </c>
      <c r="EJ11" s="43">
        <v>2</v>
      </c>
      <c r="EK11" s="43">
        <v>2</v>
      </c>
      <c r="EL11" s="43">
        <v>1</v>
      </c>
      <c r="EM11" s="43">
        <v>2</v>
      </c>
      <c r="EN11" s="43">
        <v>1</v>
      </c>
      <c r="EO11" s="43">
        <v>2</v>
      </c>
      <c r="EP11" s="43">
        <v>3</v>
      </c>
      <c r="EQ11" s="43">
        <v>1</v>
      </c>
      <c r="ER11" s="43">
        <v>2</v>
      </c>
      <c r="ES11" s="43">
        <v>3</v>
      </c>
      <c r="ET11" s="43">
        <v>1</v>
      </c>
      <c r="EU11" s="43">
        <v>1</v>
      </c>
      <c r="EV11" s="43">
        <v>3</v>
      </c>
      <c r="EW11" s="43">
        <v>1</v>
      </c>
      <c r="EX11" s="43">
        <v>1</v>
      </c>
      <c r="EY11" s="43">
        <v>3</v>
      </c>
      <c r="EZ11" s="43">
        <v>0</v>
      </c>
      <c r="FA11" s="43">
        <v>1</v>
      </c>
      <c r="FB11" s="43">
        <v>3</v>
      </c>
      <c r="FC11" s="43">
        <v>0</v>
      </c>
      <c r="FD11" s="43">
        <v>0</v>
      </c>
      <c r="FE11" s="43">
        <v>4</v>
      </c>
      <c r="FF11" s="43">
        <v>1</v>
      </c>
      <c r="FG11" s="43">
        <v>1</v>
      </c>
      <c r="FH11" s="43">
        <v>2</v>
      </c>
      <c r="FI11" s="43">
        <v>1</v>
      </c>
      <c r="FJ11" s="43">
        <v>0</v>
      </c>
      <c r="FK11" s="43">
        <v>2</v>
      </c>
      <c r="FL11" s="43">
        <v>1</v>
      </c>
      <c r="FM11" s="43">
        <v>0</v>
      </c>
      <c r="FN11" s="43">
        <v>2</v>
      </c>
      <c r="FO11" s="43">
        <v>2</v>
      </c>
      <c r="FP11" s="43">
        <v>0</v>
      </c>
      <c r="FQ11" s="43">
        <v>2</v>
      </c>
      <c r="FR11" s="43">
        <v>1</v>
      </c>
      <c r="FS11" s="43">
        <v>1</v>
      </c>
      <c r="FT11" s="43">
        <v>4</v>
      </c>
      <c r="FU11" s="43">
        <v>1</v>
      </c>
      <c r="FV11" s="43">
        <v>0</v>
      </c>
      <c r="FW11" s="43">
        <v>1</v>
      </c>
      <c r="FX11" s="43">
        <v>0</v>
      </c>
      <c r="FY11" s="43">
        <v>0</v>
      </c>
      <c r="FZ11" s="43">
        <v>1</v>
      </c>
      <c r="GA11" s="43">
        <v>0</v>
      </c>
      <c r="GB11" s="43">
        <v>0</v>
      </c>
      <c r="GC11" s="43">
        <v>3</v>
      </c>
      <c r="GD11" s="43">
        <v>0</v>
      </c>
      <c r="GE11" s="43">
        <v>1</v>
      </c>
      <c r="GF11" s="43">
        <v>2</v>
      </c>
      <c r="GG11" s="43">
        <v>0</v>
      </c>
      <c r="GH11" s="43">
        <v>2</v>
      </c>
      <c r="GI11" s="43">
        <v>3</v>
      </c>
      <c r="GJ11" s="43">
        <v>1</v>
      </c>
      <c r="GK11" s="43">
        <v>0</v>
      </c>
      <c r="GL11" s="43">
        <v>2</v>
      </c>
      <c r="GM11" s="43">
        <v>2</v>
      </c>
      <c r="GN11" s="43">
        <v>0</v>
      </c>
      <c r="GO11" s="43">
        <v>3</v>
      </c>
      <c r="GP11" s="43">
        <v>2</v>
      </c>
      <c r="GQ11" s="43">
        <v>1</v>
      </c>
      <c r="GR11" s="43">
        <v>4</v>
      </c>
      <c r="GS11" s="43">
        <v>1</v>
      </c>
      <c r="GT11" s="43">
        <v>2</v>
      </c>
      <c r="GU11" s="43">
        <v>2</v>
      </c>
      <c r="GV11" s="43">
        <v>1</v>
      </c>
      <c r="GW11" s="43">
        <v>2</v>
      </c>
      <c r="GX11" s="43">
        <v>3</v>
      </c>
      <c r="GY11" s="43">
        <v>0</v>
      </c>
      <c r="GZ11" s="43">
        <v>0</v>
      </c>
      <c r="HA11" s="43">
        <v>1</v>
      </c>
      <c r="HB11" s="43">
        <v>1</v>
      </c>
      <c r="HC11" s="43">
        <v>1</v>
      </c>
      <c r="HD11" s="43">
        <v>3</v>
      </c>
      <c r="HE11" s="43">
        <v>0</v>
      </c>
      <c r="HF11" s="43">
        <v>1</v>
      </c>
      <c r="HG11" s="43">
        <v>3</v>
      </c>
      <c r="HH11" s="43">
        <v>0</v>
      </c>
      <c r="HI11" s="43">
        <v>1</v>
      </c>
      <c r="HJ11" s="43">
        <v>1</v>
      </c>
      <c r="HK11" s="43">
        <v>0</v>
      </c>
      <c r="HL11" s="43">
        <v>0</v>
      </c>
      <c r="HM11" s="43">
        <v>1</v>
      </c>
      <c r="HN11" s="43">
        <v>1</v>
      </c>
      <c r="HO11" s="43">
        <v>0</v>
      </c>
      <c r="HP11" s="43">
        <v>2</v>
      </c>
      <c r="HQ11" s="43">
        <v>1</v>
      </c>
      <c r="HR11" s="43">
        <v>1</v>
      </c>
      <c r="HS11" s="43">
        <v>2</v>
      </c>
      <c r="HT11" s="43">
        <v>1</v>
      </c>
      <c r="HU11" s="43">
        <v>0</v>
      </c>
      <c r="HV11" s="43">
        <v>2</v>
      </c>
      <c r="HW11" s="43">
        <v>0</v>
      </c>
      <c r="HX11" s="43">
        <v>1</v>
      </c>
      <c r="HY11" s="43">
        <v>3</v>
      </c>
      <c r="HZ11" s="43">
        <v>1</v>
      </c>
      <c r="IA11" s="43">
        <v>0</v>
      </c>
      <c r="IB11" s="43">
        <v>3</v>
      </c>
      <c r="IC11" s="43">
        <v>2</v>
      </c>
      <c r="ID11" s="43">
        <v>2</v>
      </c>
      <c r="IE11" s="43">
        <v>3</v>
      </c>
      <c r="IF11" s="43">
        <v>0</v>
      </c>
      <c r="IG11" s="43">
        <v>1</v>
      </c>
      <c r="IH11" s="43">
        <v>2</v>
      </c>
      <c r="II11" s="43">
        <v>1</v>
      </c>
      <c r="IJ11" s="43">
        <v>0</v>
      </c>
      <c r="IK11" s="43">
        <v>4</v>
      </c>
      <c r="IL11" s="43">
        <v>1</v>
      </c>
      <c r="IM11" s="43">
        <v>1</v>
      </c>
      <c r="IN11" s="43">
        <v>3</v>
      </c>
      <c r="IO11" s="43">
        <v>2</v>
      </c>
      <c r="IP11" s="43">
        <v>2</v>
      </c>
      <c r="IQ11" s="43">
        <v>1</v>
      </c>
      <c r="IR11" s="43">
        <v>1</v>
      </c>
      <c r="IS11" s="43">
        <v>1</v>
      </c>
      <c r="IT11" s="43">
        <v>4</v>
      </c>
      <c r="IU11" s="43">
        <v>0</v>
      </c>
      <c r="IV11" s="43">
        <v>1</v>
      </c>
      <c r="IW11" s="43">
        <v>2</v>
      </c>
      <c r="IX11" s="43">
        <v>1</v>
      </c>
      <c r="IY11" s="43">
        <v>2</v>
      </c>
      <c r="IZ11" s="43">
        <v>3</v>
      </c>
      <c r="JA11" s="43">
        <v>0</v>
      </c>
      <c r="JB11" s="43">
        <v>0</v>
      </c>
      <c r="JC11" s="43">
        <v>3</v>
      </c>
      <c r="JD11" s="43">
        <v>1</v>
      </c>
      <c r="JE11" s="43">
        <v>0</v>
      </c>
      <c r="JF11" s="43">
        <v>2</v>
      </c>
      <c r="JG11" s="43">
        <v>0</v>
      </c>
      <c r="JH11" s="43">
        <v>1</v>
      </c>
      <c r="JI11" s="43">
        <v>1</v>
      </c>
      <c r="JJ11" s="43">
        <v>1</v>
      </c>
      <c r="JK11" s="43">
        <v>1</v>
      </c>
      <c r="JL11" s="43">
        <v>0</v>
      </c>
      <c r="JM11" s="43">
        <v>0</v>
      </c>
      <c r="JN11" s="43">
        <v>3</v>
      </c>
      <c r="JO11" s="43">
        <v>3</v>
      </c>
      <c r="JP11" s="43">
        <v>1</v>
      </c>
      <c r="JQ11" s="43">
        <v>0</v>
      </c>
      <c r="JR11" s="43">
        <v>2</v>
      </c>
      <c r="JS11" s="43">
        <v>1</v>
      </c>
      <c r="JT11" s="43">
        <v>1</v>
      </c>
      <c r="JU11" s="43">
        <v>2</v>
      </c>
      <c r="JV11" s="43">
        <v>2</v>
      </c>
      <c r="JW11" s="43">
        <v>1</v>
      </c>
      <c r="JX11" s="43">
        <v>3</v>
      </c>
      <c r="JY11" s="43">
        <v>0</v>
      </c>
      <c r="JZ11" s="43">
        <v>0</v>
      </c>
      <c r="KA11" s="43">
        <v>1</v>
      </c>
      <c r="KB11" s="43">
        <v>1</v>
      </c>
      <c r="KC11" s="43">
        <v>0</v>
      </c>
      <c r="KD11" s="43">
        <v>2</v>
      </c>
      <c r="KE11" s="43">
        <v>2</v>
      </c>
      <c r="KF11" s="43">
        <v>1</v>
      </c>
      <c r="KG11" s="43">
        <v>2</v>
      </c>
      <c r="KH11" s="43">
        <v>1</v>
      </c>
      <c r="KI11" s="43">
        <v>0</v>
      </c>
      <c r="KJ11" s="43">
        <v>3</v>
      </c>
      <c r="KK11" s="43">
        <v>2</v>
      </c>
      <c r="KL11" s="43">
        <v>2</v>
      </c>
      <c r="KM11" s="43">
        <v>2</v>
      </c>
      <c r="KN11" s="43">
        <v>0</v>
      </c>
      <c r="KO11" s="43">
        <v>0</v>
      </c>
    </row>
    <row r="12" spans="1:301" x14ac:dyDescent="0.4">
      <c r="A12" s="43">
        <v>8</v>
      </c>
      <c r="B12" s="43">
        <v>3</v>
      </c>
      <c r="C12" s="43">
        <v>0</v>
      </c>
      <c r="D12" s="43">
        <v>1</v>
      </c>
      <c r="E12" s="43">
        <v>4</v>
      </c>
      <c r="F12" s="43">
        <v>0</v>
      </c>
      <c r="G12" s="43">
        <v>2</v>
      </c>
      <c r="H12" s="43">
        <v>3</v>
      </c>
      <c r="I12" s="43">
        <v>0</v>
      </c>
      <c r="J12" s="43">
        <v>2</v>
      </c>
      <c r="K12" s="43">
        <v>2</v>
      </c>
      <c r="L12" s="43">
        <v>1</v>
      </c>
      <c r="M12" s="43">
        <v>2</v>
      </c>
      <c r="N12" s="43">
        <v>2</v>
      </c>
      <c r="O12" s="43">
        <v>0</v>
      </c>
      <c r="P12" s="43">
        <v>0</v>
      </c>
      <c r="Q12" s="43">
        <v>3</v>
      </c>
      <c r="R12" s="43">
        <v>0</v>
      </c>
      <c r="S12" s="43">
        <v>0</v>
      </c>
      <c r="T12" s="43">
        <v>2</v>
      </c>
      <c r="U12" s="43">
        <v>1</v>
      </c>
      <c r="V12" s="43">
        <v>1</v>
      </c>
      <c r="W12" s="43">
        <v>0</v>
      </c>
      <c r="X12" s="43">
        <v>1</v>
      </c>
      <c r="Y12" s="43">
        <v>1</v>
      </c>
      <c r="Z12" s="43">
        <v>2</v>
      </c>
      <c r="AA12" s="43">
        <v>0</v>
      </c>
      <c r="AB12" s="43">
        <v>0</v>
      </c>
      <c r="AC12" s="43">
        <v>2</v>
      </c>
      <c r="AD12" s="43">
        <v>0</v>
      </c>
      <c r="AE12" s="43">
        <v>1</v>
      </c>
      <c r="AF12" s="43">
        <v>2</v>
      </c>
      <c r="AG12" s="43">
        <v>2</v>
      </c>
      <c r="AH12" s="43">
        <v>0</v>
      </c>
      <c r="AI12" s="43">
        <v>3</v>
      </c>
      <c r="AJ12" s="43">
        <v>1</v>
      </c>
      <c r="AK12" s="43">
        <v>2</v>
      </c>
      <c r="AL12" s="43">
        <v>3</v>
      </c>
      <c r="AM12" s="43">
        <v>0</v>
      </c>
      <c r="AN12" s="43">
        <v>1</v>
      </c>
      <c r="AO12" s="43">
        <v>1</v>
      </c>
      <c r="AP12" s="43">
        <v>1</v>
      </c>
      <c r="AQ12" s="43">
        <v>1</v>
      </c>
      <c r="AR12" s="43">
        <v>2</v>
      </c>
      <c r="AS12" s="43">
        <v>2</v>
      </c>
      <c r="AT12" s="43">
        <v>1</v>
      </c>
      <c r="AU12" s="43">
        <v>3</v>
      </c>
      <c r="AV12" s="43">
        <v>1</v>
      </c>
      <c r="AW12" s="43">
        <v>1</v>
      </c>
      <c r="AX12" s="43">
        <v>4</v>
      </c>
      <c r="AY12" s="43">
        <v>0</v>
      </c>
      <c r="AZ12" s="43">
        <v>1</v>
      </c>
      <c r="BA12" s="43">
        <v>3</v>
      </c>
      <c r="BB12" s="43">
        <v>1</v>
      </c>
      <c r="BC12" s="43">
        <v>0</v>
      </c>
      <c r="BD12" s="43">
        <v>3</v>
      </c>
      <c r="BE12" s="43">
        <v>0</v>
      </c>
      <c r="BF12" s="43">
        <v>0</v>
      </c>
      <c r="BG12" s="43">
        <v>4</v>
      </c>
      <c r="BH12" s="43">
        <v>0</v>
      </c>
      <c r="BI12" s="43">
        <v>0</v>
      </c>
      <c r="BJ12" s="43">
        <v>4</v>
      </c>
      <c r="BK12" s="43">
        <v>0</v>
      </c>
      <c r="BL12" s="43">
        <v>1</v>
      </c>
      <c r="BM12" s="43">
        <v>2</v>
      </c>
      <c r="BN12" s="43">
        <v>0</v>
      </c>
      <c r="BO12" s="43">
        <v>0</v>
      </c>
      <c r="BP12" s="43">
        <v>4</v>
      </c>
      <c r="BQ12" s="43">
        <v>2</v>
      </c>
      <c r="BR12" s="43">
        <v>0</v>
      </c>
      <c r="BS12" s="43">
        <v>1</v>
      </c>
      <c r="BT12" s="43">
        <v>1</v>
      </c>
      <c r="BU12" s="43">
        <v>0</v>
      </c>
      <c r="BV12" s="43">
        <v>2</v>
      </c>
      <c r="BW12" s="43">
        <v>1</v>
      </c>
      <c r="BX12" s="43">
        <v>0</v>
      </c>
      <c r="BY12" s="43">
        <v>2</v>
      </c>
      <c r="BZ12" s="43">
        <v>0</v>
      </c>
      <c r="CA12" s="43">
        <v>1</v>
      </c>
      <c r="CB12" s="43">
        <v>2</v>
      </c>
      <c r="CC12" s="43">
        <v>2</v>
      </c>
      <c r="CD12" s="43">
        <v>1</v>
      </c>
      <c r="CE12" s="43">
        <v>2</v>
      </c>
      <c r="CF12" s="43">
        <v>2</v>
      </c>
      <c r="CG12" s="43">
        <v>2</v>
      </c>
      <c r="CH12" s="43">
        <v>1</v>
      </c>
      <c r="CI12" s="43">
        <v>2</v>
      </c>
      <c r="CJ12" s="43">
        <v>1</v>
      </c>
      <c r="CK12" s="43">
        <v>4</v>
      </c>
      <c r="CL12" s="43">
        <v>0</v>
      </c>
      <c r="CM12" s="43">
        <v>0</v>
      </c>
      <c r="CN12" s="43">
        <v>2</v>
      </c>
      <c r="CO12" s="43">
        <v>3</v>
      </c>
      <c r="CP12" s="43">
        <v>0</v>
      </c>
      <c r="CQ12" s="43">
        <v>2</v>
      </c>
      <c r="CR12" s="43">
        <v>1</v>
      </c>
      <c r="CS12" s="43">
        <v>0</v>
      </c>
      <c r="CT12" s="43">
        <v>2</v>
      </c>
      <c r="CU12" s="43">
        <v>0</v>
      </c>
      <c r="CV12" s="43">
        <v>1</v>
      </c>
      <c r="CW12" s="43">
        <v>1</v>
      </c>
      <c r="CX12" s="43">
        <v>1</v>
      </c>
      <c r="CY12" s="43">
        <v>1</v>
      </c>
      <c r="CZ12" s="43">
        <v>2</v>
      </c>
      <c r="DA12" s="43">
        <v>1</v>
      </c>
      <c r="DB12" s="43">
        <v>1</v>
      </c>
      <c r="DC12" s="43">
        <v>1</v>
      </c>
      <c r="DD12" s="43">
        <v>1</v>
      </c>
      <c r="DE12" s="43">
        <v>0</v>
      </c>
      <c r="DF12" s="43">
        <v>2</v>
      </c>
      <c r="DG12" s="43">
        <v>0</v>
      </c>
      <c r="DH12" s="43">
        <v>1</v>
      </c>
      <c r="DI12" s="43">
        <v>1</v>
      </c>
      <c r="DJ12" s="43">
        <v>0</v>
      </c>
      <c r="DK12" s="43">
        <v>2</v>
      </c>
      <c r="DL12" s="43">
        <v>2</v>
      </c>
      <c r="DM12" s="43">
        <v>1</v>
      </c>
      <c r="DN12" s="43">
        <v>0</v>
      </c>
      <c r="DO12" s="43">
        <v>4</v>
      </c>
      <c r="DP12" s="43">
        <v>2</v>
      </c>
      <c r="DQ12" s="43">
        <v>2</v>
      </c>
      <c r="DR12" s="43">
        <v>3</v>
      </c>
      <c r="DS12" s="43">
        <v>2</v>
      </c>
      <c r="DT12" s="43">
        <v>2</v>
      </c>
      <c r="DU12" s="43">
        <v>3</v>
      </c>
      <c r="DV12" s="43">
        <v>1</v>
      </c>
      <c r="DW12" s="43">
        <v>1</v>
      </c>
      <c r="DX12" s="43">
        <v>2</v>
      </c>
      <c r="DY12" s="43">
        <v>0</v>
      </c>
      <c r="DZ12" s="43">
        <v>0</v>
      </c>
      <c r="EA12" s="43">
        <v>3</v>
      </c>
      <c r="EB12" s="43">
        <v>1</v>
      </c>
      <c r="EC12" s="43">
        <v>1</v>
      </c>
      <c r="ED12" s="43">
        <v>3</v>
      </c>
      <c r="EE12" s="43">
        <v>1</v>
      </c>
      <c r="EF12" s="43">
        <v>0</v>
      </c>
      <c r="EG12" s="43">
        <v>3</v>
      </c>
      <c r="EH12" s="43">
        <v>1</v>
      </c>
      <c r="EI12" s="43">
        <v>1</v>
      </c>
      <c r="EJ12" s="43">
        <v>3</v>
      </c>
      <c r="EK12" s="43">
        <v>0</v>
      </c>
      <c r="EL12" s="43">
        <v>1</v>
      </c>
      <c r="EM12" s="43">
        <v>3</v>
      </c>
      <c r="EN12" s="43">
        <v>2</v>
      </c>
      <c r="EO12" s="43">
        <v>2</v>
      </c>
      <c r="EP12" s="43">
        <v>4</v>
      </c>
      <c r="EQ12" s="43">
        <v>0</v>
      </c>
      <c r="ER12" s="43">
        <v>0</v>
      </c>
      <c r="ES12" s="43">
        <v>2</v>
      </c>
      <c r="ET12" s="43">
        <v>0</v>
      </c>
      <c r="EU12" s="43">
        <v>0</v>
      </c>
      <c r="EV12" s="43">
        <v>3</v>
      </c>
      <c r="EW12" s="43">
        <v>0</v>
      </c>
      <c r="EX12" s="43">
        <v>0</v>
      </c>
      <c r="EY12" s="43">
        <v>3</v>
      </c>
      <c r="EZ12" s="43">
        <v>1</v>
      </c>
      <c r="FA12" s="43">
        <v>1</v>
      </c>
      <c r="FB12" s="43">
        <v>4</v>
      </c>
      <c r="FC12" s="43">
        <v>1</v>
      </c>
      <c r="FD12" s="43">
        <v>1</v>
      </c>
      <c r="FE12" s="43">
        <v>2</v>
      </c>
      <c r="FF12" s="43">
        <v>2</v>
      </c>
      <c r="FG12" s="43">
        <v>1</v>
      </c>
      <c r="FH12" s="43">
        <v>2</v>
      </c>
      <c r="FI12" s="43">
        <v>1</v>
      </c>
      <c r="FJ12" s="43">
        <v>0</v>
      </c>
      <c r="FK12" s="43">
        <v>4</v>
      </c>
      <c r="FL12" s="43">
        <v>0</v>
      </c>
      <c r="FM12" s="43">
        <v>1</v>
      </c>
      <c r="FN12" s="43">
        <v>3</v>
      </c>
      <c r="FO12" s="43">
        <v>1</v>
      </c>
      <c r="FP12" s="43">
        <v>1</v>
      </c>
      <c r="FQ12" s="43">
        <v>2</v>
      </c>
      <c r="FR12" s="43">
        <v>2</v>
      </c>
      <c r="FS12" s="43">
        <v>0</v>
      </c>
      <c r="FT12" s="43">
        <v>2</v>
      </c>
      <c r="FU12" s="43">
        <v>2</v>
      </c>
      <c r="FV12" s="43">
        <v>0</v>
      </c>
      <c r="FW12" s="43">
        <v>2</v>
      </c>
      <c r="FX12" s="43">
        <v>2</v>
      </c>
      <c r="FY12" s="43">
        <v>2</v>
      </c>
      <c r="FZ12" s="43">
        <v>3</v>
      </c>
      <c r="GA12" s="43">
        <v>2</v>
      </c>
      <c r="GB12" s="43">
        <v>0</v>
      </c>
      <c r="GC12" s="43">
        <v>4</v>
      </c>
      <c r="GD12" s="43">
        <v>2</v>
      </c>
      <c r="GE12" s="43">
        <v>1</v>
      </c>
      <c r="GF12" s="43">
        <v>4</v>
      </c>
      <c r="GG12" s="43">
        <v>4</v>
      </c>
      <c r="GH12" s="43">
        <v>2</v>
      </c>
      <c r="GI12" s="43">
        <v>2</v>
      </c>
      <c r="GJ12" s="43">
        <v>2</v>
      </c>
      <c r="GK12" s="43">
        <v>0</v>
      </c>
      <c r="GL12" s="43">
        <v>3</v>
      </c>
      <c r="GM12" s="43">
        <v>2</v>
      </c>
      <c r="GN12" s="43">
        <v>1</v>
      </c>
      <c r="GO12" s="43">
        <v>3</v>
      </c>
      <c r="GP12" s="43">
        <v>0</v>
      </c>
      <c r="GQ12" s="43">
        <v>0</v>
      </c>
      <c r="GR12" s="43">
        <v>3</v>
      </c>
      <c r="GS12" s="43">
        <v>1</v>
      </c>
      <c r="GT12" s="43">
        <v>1</v>
      </c>
      <c r="GU12" s="43">
        <v>1</v>
      </c>
      <c r="GV12" s="43">
        <v>2</v>
      </c>
      <c r="GW12" s="43">
        <v>2</v>
      </c>
      <c r="GX12" s="43">
        <v>4</v>
      </c>
      <c r="GY12" s="43">
        <v>0</v>
      </c>
      <c r="GZ12" s="43">
        <v>0</v>
      </c>
      <c r="HA12" s="43">
        <v>2</v>
      </c>
      <c r="HB12" s="43">
        <v>0</v>
      </c>
      <c r="HC12" s="43">
        <v>0</v>
      </c>
      <c r="HD12" s="43">
        <v>1</v>
      </c>
      <c r="HE12" s="43">
        <v>1</v>
      </c>
      <c r="HF12" s="43">
        <v>0</v>
      </c>
      <c r="HG12" s="43">
        <v>3</v>
      </c>
      <c r="HH12" s="43">
        <v>2</v>
      </c>
      <c r="HI12" s="43">
        <v>0</v>
      </c>
      <c r="HJ12" s="43">
        <v>3</v>
      </c>
      <c r="HK12" s="43">
        <v>2</v>
      </c>
      <c r="HL12" s="43">
        <v>1</v>
      </c>
      <c r="HM12" s="43">
        <v>2</v>
      </c>
      <c r="HN12" s="43">
        <v>0</v>
      </c>
      <c r="HO12" s="43">
        <v>0</v>
      </c>
      <c r="HP12" s="43">
        <v>2</v>
      </c>
      <c r="HQ12" s="43">
        <v>0</v>
      </c>
      <c r="HR12" s="43">
        <v>0</v>
      </c>
      <c r="HS12" s="43">
        <v>2</v>
      </c>
      <c r="HT12" s="43">
        <v>1</v>
      </c>
      <c r="HU12" s="43">
        <v>0</v>
      </c>
      <c r="HV12" s="43">
        <v>2</v>
      </c>
      <c r="HW12" s="43">
        <v>2</v>
      </c>
      <c r="HX12" s="43">
        <v>2</v>
      </c>
      <c r="HY12" s="43">
        <v>1</v>
      </c>
      <c r="HZ12" s="43">
        <v>1</v>
      </c>
      <c r="IA12" s="43">
        <v>2</v>
      </c>
      <c r="IB12" s="43">
        <v>2</v>
      </c>
      <c r="IC12" s="43">
        <v>1</v>
      </c>
      <c r="ID12" s="43">
        <v>1</v>
      </c>
      <c r="IE12" s="43">
        <v>1</v>
      </c>
      <c r="IF12" s="43">
        <v>0</v>
      </c>
      <c r="IG12" s="43">
        <v>1</v>
      </c>
      <c r="IH12" s="43">
        <v>3</v>
      </c>
      <c r="II12" s="43">
        <v>0</v>
      </c>
      <c r="IJ12" s="43">
        <v>2</v>
      </c>
      <c r="IK12" s="43">
        <v>3</v>
      </c>
      <c r="IL12" s="43">
        <v>0</v>
      </c>
      <c r="IM12" s="43">
        <v>0</v>
      </c>
      <c r="IN12" s="43">
        <v>4</v>
      </c>
      <c r="IO12" s="43">
        <v>1</v>
      </c>
      <c r="IP12" s="43">
        <v>0</v>
      </c>
      <c r="IQ12" s="43">
        <v>3</v>
      </c>
      <c r="IR12" s="43">
        <v>1</v>
      </c>
      <c r="IS12" s="43">
        <v>0</v>
      </c>
      <c r="IT12" s="43">
        <v>2</v>
      </c>
      <c r="IU12" s="43">
        <v>0</v>
      </c>
      <c r="IV12" s="43">
        <v>1</v>
      </c>
      <c r="IW12" s="43">
        <v>4</v>
      </c>
      <c r="IX12" s="43">
        <v>1</v>
      </c>
      <c r="IY12" s="43">
        <v>2</v>
      </c>
      <c r="IZ12" s="43">
        <v>2</v>
      </c>
      <c r="JA12" s="43">
        <v>1</v>
      </c>
      <c r="JB12" s="43">
        <v>1</v>
      </c>
      <c r="JC12" s="43">
        <v>3</v>
      </c>
      <c r="JD12" s="43">
        <v>1</v>
      </c>
      <c r="JE12" s="43">
        <v>2</v>
      </c>
      <c r="JF12" s="43">
        <v>1</v>
      </c>
      <c r="JG12" s="43">
        <v>1</v>
      </c>
      <c r="JH12" s="43">
        <v>0</v>
      </c>
      <c r="JI12" s="43">
        <v>3</v>
      </c>
      <c r="JJ12" s="43">
        <v>2</v>
      </c>
      <c r="JK12" s="43">
        <v>0</v>
      </c>
      <c r="JL12" s="43">
        <v>3</v>
      </c>
      <c r="JM12" s="43">
        <v>1</v>
      </c>
      <c r="JN12" s="43">
        <v>0</v>
      </c>
      <c r="JO12" s="43">
        <v>0</v>
      </c>
      <c r="JP12" s="43">
        <v>2</v>
      </c>
      <c r="JQ12" s="43">
        <v>0</v>
      </c>
      <c r="JR12" s="43">
        <v>3</v>
      </c>
      <c r="JS12" s="43">
        <v>1</v>
      </c>
      <c r="JT12" s="43">
        <v>0</v>
      </c>
      <c r="JU12" s="43">
        <v>1</v>
      </c>
      <c r="JV12" s="43">
        <v>2</v>
      </c>
      <c r="JW12" s="43">
        <v>1</v>
      </c>
      <c r="JX12" s="43">
        <v>4</v>
      </c>
      <c r="JY12" s="43">
        <v>1</v>
      </c>
      <c r="JZ12" s="43">
        <v>2</v>
      </c>
      <c r="KA12" s="43">
        <v>1</v>
      </c>
      <c r="KB12" s="43">
        <v>1</v>
      </c>
      <c r="KC12" s="43">
        <v>0</v>
      </c>
      <c r="KD12" s="43">
        <v>2</v>
      </c>
      <c r="KE12" s="43">
        <v>1</v>
      </c>
      <c r="KF12" s="43">
        <v>1</v>
      </c>
      <c r="KG12" s="43">
        <v>2</v>
      </c>
      <c r="KH12" s="43">
        <v>2</v>
      </c>
      <c r="KI12" s="43">
        <v>0</v>
      </c>
      <c r="KJ12" s="43">
        <v>2</v>
      </c>
      <c r="KK12" s="43">
        <v>0</v>
      </c>
      <c r="KL12" s="43">
        <v>0</v>
      </c>
      <c r="KM12" s="43">
        <v>2</v>
      </c>
      <c r="KN12" s="43">
        <v>1</v>
      </c>
      <c r="KO12" s="43">
        <v>1</v>
      </c>
    </row>
    <row r="13" spans="1:301" x14ac:dyDescent="0.4">
      <c r="A13" s="43">
        <v>9</v>
      </c>
      <c r="B13" s="43">
        <v>3</v>
      </c>
      <c r="C13" s="43">
        <v>1</v>
      </c>
      <c r="D13" s="43">
        <v>1</v>
      </c>
      <c r="E13" s="43">
        <v>3</v>
      </c>
      <c r="F13" s="43">
        <v>0</v>
      </c>
      <c r="G13" s="43">
        <v>2</v>
      </c>
      <c r="H13" s="43">
        <v>3</v>
      </c>
      <c r="I13" s="43">
        <v>2</v>
      </c>
      <c r="J13" s="43">
        <v>1</v>
      </c>
      <c r="K13" s="43">
        <v>2</v>
      </c>
      <c r="L13" s="43">
        <v>2</v>
      </c>
      <c r="M13" s="43">
        <v>0</v>
      </c>
      <c r="N13" s="43">
        <v>2</v>
      </c>
      <c r="O13" s="43">
        <v>1</v>
      </c>
      <c r="P13" s="43">
        <v>1</v>
      </c>
      <c r="Q13" s="43">
        <v>4</v>
      </c>
      <c r="R13" s="43">
        <v>2</v>
      </c>
      <c r="S13" s="43">
        <v>0</v>
      </c>
      <c r="T13" s="43">
        <v>2</v>
      </c>
      <c r="U13" s="43">
        <v>3</v>
      </c>
      <c r="V13" s="43">
        <v>0</v>
      </c>
      <c r="W13" s="43">
        <v>3</v>
      </c>
      <c r="X13" s="43">
        <v>1</v>
      </c>
      <c r="Y13" s="43">
        <v>1</v>
      </c>
      <c r="Z13" s="43">
        <v>4</v>
      </c>
      <c r="AA13" s="43">
        <v>1</v>
      </c>
      <c r="AB13" s="43">
        <v>0</v>
      </c>
      <c r="AC13" s="43">
        <v>1</v>
      </c>
      <c r="AD13" s="43">
        <v>1</v>
      </c>
      <c r="AE13" s="43">
        <v>2</v>
      </c>
      <c r="AF13" s="43">
        <v>1</v>
      </c>
      <c r="AG13" s="43">
        <v>1</v>
      </c>
      <c r="AH13" s="43">
        <v>1</v>
      </c>
      <c r="AI13" s="43">
        <v>2</v>
      </c>
      <c r="AJ13" s="43">
        <v>3</v>
      </c>
      <c r="AK13" s="43">
        <v>1</v>
      </c>
      <c r="AL13" s="43">
        <v>4</v>
      </c>
      <c r="AM13" s="43">
        <v>0</v>
      </c>
      <c r="AN13" s="43">
        <v>1</v>
      </c>
      <c r="AO13" s="43">
        <v>2</v>
      </c>
      <c r="AP13" s="43">
        <v>1</v>
      </c>
      <c r="AQ13" s="43">
        <v>1</v>
      </c>
      <c r="AR13" s="43">
        <v>4</v>
      </c>
      <c r="AS13" s="43">
        <v>3</v>
      </c>
      <c r="AT13" s="43">
        <v>0</v>
      </c>
      <c r="AU13" s="43">
        <v>2</v>
      </c>
      <c r="AV13" s="43">
        <v>1</v>
      </c>
      <c r="AW13" s="43">
        <v>0</v>
      </c>
      <c r="AX13" s="43">
        <v>3</v>
      </c>
      <c r="AY13" s="43">
        <v>2</v>
      </c>
      <c r="AZ13" s="43">
        <v>0</v>
      </c>
      <c r="BA13" s="43">
        <v>4</v>
      </c>
      <c r="BB13" s="43">
        <v>1</v>
      </c>
      <c r="BC13" s="43">
        <v>2</v>
      </c>
      <c r="BD13" s="43">
        <v>3</v>
      </c>
      <c r="BE13" s="43">
        <v>1</v>
      </c>
      <c r="BF13" s="43">
        <v>0</v>
      </c>
      <c r="BG13" s="43">
        <v>2</v>
      </c>
      <c r="BH13" s="43">
        <v>1</v>
      </c>
      <c r="BI13" s="43">
        <v>1</v>
      </c>
      <c r="BJ13" s="43">
        <v>4</v>
      </c>
      <c r="BK13" s="43">
        <v>3</v>
      </c>
      <c r="BL13" s="43">
        <v>0</v>
      </c>
      <c r="BM13" s="43">
        <v>2</v>
      </c>
      <c r="BN13" s="43">
        <v>1</v>
      </c>
      <c r="BO13" s="43">
        <v>0</v>
      </c>
      <c r="BP13" s="43">
        <v>3</v>
      </c>
      <c r="BQ13" s="43">
        <v>2</v>
      </c>
      <c r="BR13" s="43">
        <v>1</v>
      </c>
      <c r="BS13" s="43">
        <v>4</v>
      </c>
      <c r="BT13" s="43">
        <v>1</v>
      </c>
      <c r="BU13" s="43">
        <v>1</v>
      </c>
      <c r="BV13" s="43">
        <v>2</v>
      </c>
      <c r="BW13" s="43">
        <v>2</v>
      </c>
      <c r="BX13" s="43">
        <v>0</v>
      </c>
      <c r="BY13" s="43">
        <v>3</v>
      </c>
      <c r="BZ13" s="43">
        <v>1</v>
      </c>
      <c r="CA13" s="43">
        <v>0</v>
      </c>
      <c r="CB13" s="43">
        <v>4</v>
      </c>
      <c r="CC13" s="43">
        <v>0</v>
      </c>
      <c r="CD13" s="43">
        <v>0</v>
      </c>
      <c r="CE13" s="43">
        <v>2</v>
      </c>
      <c r="CF13" s="43">
        <v>1</v>
      </c>
      <c r="CG13" s="43">
        <v>0</v>
      </c>
      <c r="CH13" s="43">
        <v>2</v>
      </c>
      <c r="CI13" s="43">
        <v>3</v>
      </c>
      <c r="CJ13" s="43">
        <v>1</v>
      </c>
      <c r="CK13" s="43">
        <v>1</v>
      </c>
      <c r="CL13" s="43">
        <v>0</v>
      </c>
      <c r="CM13" s="43">
        <v>0</v>
      </c>
      <c r="CN13" s="43">
        <v>4</v>
      </c>
      <c r="CO13" s="43">
        <v>0</v>
      </c>
      <c r="CP13" s="43">
        <v>1</v>
      </c>
      <c r="CQ13" s="43">
        <v>2</v>
      </c>
      <c r="CR13" s="43">
        <v>1</v>
      </c>
      <c r="CS13" s="43">
        <v>2</v>
      </c>
      <c r="CT13" s="43">
        <v>2</v>
      </c>
      <c r="CU13" s="43">
        <v>1</v>
      </c>
      <c r="CV13" s="43">
        <v>0</v>
      </c>
      <c r="CW13" s="43">
        <v>2</v>
      </c>
      <c r="CX13" s="43">
        <v>1</v>
      </c>
      <c r="CY13" s="43">
        <v>0</v>
      </c>
      <c r="CZ13" s="43">
        <v>2</v>
      </c>
      <c r="DA13" s="43">
        <v>0</v>
      </c>
      <c r="DB13" s="43">
        <v>0</v>
      </c>
      <c r="DC13" s="43">
        <v>1</v>
      </c>
      <c r="DD13" s="43">
        <v>0</v>
      </c>
      <c r="DE13" s="43">
        <v>0</v>
      </c>
      <c r="DF13" s="43">
        <v>2</v>
      </c>
      <c r="DG13" s="43">
        <v>1</v>
      </c>
      <c r="DH13" s="43">
        <v>1</v>
      </c>
      <c r="DI13" s="43">
        <v>3</v>
      </c>
      <c r="DJ13" s="43">
        <v>0</v>
      </c>
      <c r="DK13" s="43">
        <v>1</v>
      </c>
      <c r="DL13" s="43">
        <v>1</v>
      </c>
      <c r="DM13" s="43">
        <v>2</v>
      </c>
      <c r="DN13" s="43">
        <v>2</v>
      </c>
      <c r="DO13" s="43">
        <v>3</v>
      </c>
      <c r="DP13" s="43">
        <v>1</v>
      </c>
      <c r="DQ13" s="43">
        <v>0</v>
      </c>
      <c r="DR13" s="43">
        <v>3</v>
      </c>
      <c r="DS13" s="43">
        <v>0</v>
      </c>
      <c r="DT13" s="43">
        <v>3</v>
      </c>
      <c r="DU13" s="43">
        <v>2</v>
      </c>
      <c r="DV13" s="43">
        <v>1</v>
      </c>
      <c r="DW13" s="43">
        <v>1</v>
      </c>
      <c r="DX13" s="43">
        <v>2</v>
      </c>
      <c r="DY13" s="43">
        <v>2</v>
      </c>
      <c r="DZ13" s="43">
        <v>0</v>
      </c>
      <c r="EA13" s="43">
        <v>4</v>
      </c>
      <c r="EB13" s="43">
        <v>2</v>
      </c>
      <c r="EC13" s="43">
        <v>1</v>
      </c>
      <c r="ED13" s="43">
        <v>0</v>
      </c>
      <c r="EE13" s="43">
        <v>1</v>
      </c>
      <c r="EF13" s="43">
        <v>1</v>
      </c>
      <c r="EG13" s="43">
        <v>3</v>
      </c>
      <c r="EH13" s="43">
        <v>0</v>
      </c>
      <c r="EI13" s="43">
        <v>1</v>
      </c>
      <c r="EJ13" s="43">
        <v>3</v>
      </c>
      <c r="EK13" s="43">
        <v>2</v>
      </c>
      <c r="EL13" s="43">
        <v>0</v>
      </c>
      <c r="EM13" s="43">
        <v>2</v>
      </c>
      <c r="EN13" s="43">
        <v>3</v>
      </c>
      <c r="EO13" s="43">
        <v>1</v>
      </c>
      <c r="EP13" s="43">
        <v>1</v>
      </c>
      <c r="EQ13" s="43">
        <v>0</v>
      </c>
      <c r="ER13" s="43">
        <v>0</v>
      </c>
      <c r="ES13" s="43">
        <v>3</v>
      </c>
      <c r="ET13" s="43">
        <v>2</v>
      </c>
      <c r="EU13" s="43">
        <v>1</v>
      </c>
      <c r="EV13" s="43">
        <v>2</v>
      </c>
      <c r="EW13" s="43">
        <v>2</v>
      </c>
      <c r="EX13" s="43">
        <v>0</v>
      </c>
      <c r="EY13" s="43">
        <v>3</v>
      </c>
      <c r="EZ13" s="43">
        <v>1</v>
      </c>
      <c r="FA13" s="43">
        <v>1</v>
      </c>
      <c r="FB13" s="43">
        <v>1</v>
      </c>
      <c r="FC13" s="43">
        <v>0</v>
      </c>
      <c r="FD13" s="43">
        <v>1</v>
      </c>
      <c r="FE13" s="43">
        <v>4</v>
      </c>
      <c r="FF13" s="43">
        <v>0</v>
      </c>
      <c r="FG13" s="43">
        <v>1</v>
      </c>
      <c r="FH13" s="43">
        <v>3</v>
      </c>
      <c r="FI13" s="43">
        <v>2</v>
      </c>
      <c r="FJ13" s="43">
        <v>2</v>
      </c>
      <c r="FK13" s="43">
        <v>3</v>
      </c>
      <c r="FL13" s="43">
        <v>1</v>
      </c>
      <c r="FM13" s="43">
        <v>0</v>
      </c>
      <c r="FN13" s="43">
        <v>2</v>
      </c>
      <c r="FO13" s="43">
        <v>2</v>
      </c>
      <c r="FP13" s="43">
        <v>2</v>
      </c>
      <c r="FQ13" s="43">
        <v>1</v>
      </c>
      <c r="FR13" s="43">
        <v>0</v>
      </c>
      <c r="FS13" s="43">
        <v>0</v>
      </c>
      <c r="FT13" s="43">
        <v>3</v>
      </c>
      <c r="FU13" s="43">
        <v>0</v>
      </c>
      <c r="FV13" s="43">
        <v>0</v>
      </c>
      <c r="FW13" s="43">
        <v>2</v>
      </c>
      <c r="FX13" s="43">
        <v>1</v>
      </c>
      <c r="FY13" s="43">
        <v>2</v>
      </c>
      <c r="FZ13" s="43">
        <v>2</v>
      </c>
      <c r="GA13" s="43">
        <v>0</v>
      </c>
      <c r="GB13" s="43">
        <v>0</v>
      </c>
      <c r="GC13" s="43">
        <v>0</v>
      </c>
      <c r="GD13" s="43">
        <v>1</v>
      </c>
      <c r="GE13" s="43">
        <v>1</v>
      </c>
      <c r="GF13" s="43">
        <v>2</v>
      </c>
      <c r="GG13" s="43">
        <v>0</v>
      </c>
      <c r="GH13" s="43">
        <v>1</v>
      </c>
      <c r="GI13" s="43">
        <v>3</v>
      </c>
      <c r="GJ13" s="43">
        <v>0</v>
      </c>
      <c r="GK13" s="43">
        <v>0</v>
      </c>
      <c r="GL13" s="43">
        <v>1</v>
      </c>
      <c r="GM13" s="43">
        <v>1</v>
      </c>
      <c r="GN13" s="43">
        <v>1</v>
      </c>
      <c r="GO13" s="43">
        <v>1</v>
      </c>
      <c r="GP13" s="43">
        <v>1</v>
      </c>
      <c r="GQ13" s="43">
        <v>0</v>
      </c>
      <c r="GR13" s="43">
        <v>4</v>
      </c>
      <c r="GS13" s="43">
        <v>2</v>
      </c>
      <c r="GT13" s="43">
        <v>1</v>
      </c>
      <c r="GU13" s="43">
        <v>3</v>
      </c>
      <c r="GV13" s="43">
        <v>1</v>
      </c>
      <c r="GW13" s="43">
        <v>1</v>
      </c>
      <c r="GX13" s="43">
        <v>3</v>
      </c>
      <c r="GY13" s="43">
        <v>0</v>
      </c>
      <c r="GZ13" s="43">
        <v>0</v>
      </c>
      <c r="HA13" s="43">
        <v>4</v>
      </c>
      <c r="HB13" s="43">
        <v>0</v>
      </c>
      <c r="HC13" s="43">
        <v>0</v>
      </c>
      <c r="HD13" s="43">
        <v>2</v>
      </c>
      <c r="HE13" s="43">
        <v>1</v>
      </c>
      <c r="HF13" s="43">
        <v>0</v>
      </c>
      <c r="HG13" s="43">
        <v>1</v>
      </c>
      <c r="HH13" s="43">
        <v>2</v>
      </c>
      <c r="HI13" s="43">
        <v>0</v>
      </c>
      <c r="HJ13" s="43">
        <v>3</v>
      </c>
      <c r="HK13" s="43">
        <v>1</v>
      </c>
      <c r="HL13" s="43">
        <v>1</v>
      </c>
      <c r="HM13" s="43">
        <v>2</v>
      </c>
      <c r="HN13" s="43">
        <v>2</v>
      </c>
      <c r="HO13" s="43">
        <v>2</v>
      </c>
      <c r="HP13" s="43">
        <v>3</v>
      </c>
      <c r="HQ13" s="43">
        <v>1</v>
      </c>
      <c r="HR13" s="43">
        <v>0</v>
      </c>
      <c r="HS13" s="43">
        <v>3</v>
      </c>
      <c r="HT13" s="43">
        <v>1</v>
      </c>
      <c r="HU13" s="43">
        <v>1</v>
      </c>
      <c r="HV13" s="43">
        <v>1</v>
      </c>
      <c r="HW13" s="43">
        <v>1</v>
      </c>
      <c r="HX13" s="43">
        <v>0</v>
      </c>
      <c r="HY13" s="43">
        <v>4</v>
      </c>
      <c r="HZ13" s="43">
        <v>0</v>
      </c>
      <c r="IA13" s="43">
        <v>0</v>
      </c>
      <c r="IB13" s="43">
        <v>4</v>
      </c>
      <c r="IC13" s="43">
        <v>1</v>
      </c>
      <c r="ID13" s="43">
        <v>0</v>
      </c>
      <c r="IE13" s="43">
        <v>4</v>
      </c>
      <c r="IF13" s="43">
        <v>2</v>
      </c>
      <c r="IG13" s="43">
        <v>1</v>
      </c>
      <c r="IH13" s="43">
        <v>1</v>
      </c>
      <c r="II13" s="43">
        <v>2</v>
      </c>
      <c r="IJ13" s="43">
        <v>0</v>
      </c>
      <c r="IK13" s="43">
        <v>4</v>
      </c>
      <c r="IL13" s="43">
        <v>1</v>
      </c>
      <c r="IM13" s="43">
        <v>0</v>
      </c>
      <c r="IN13" s="43">
        <v>1</v>
      </c>
      <c r="IO13" s="43">
        <v>2</v>
      </c>
      <c r="IP13" s="43">
        <v>2</v>
      </c>
      <c r="IQ13" s="43">
        <v>3</v>
      </c>
      <c r="IR13" s="43">
        <v>3</v>
      </c>
      <c r="IS13" s="43">
        <v>1</v>
      </c>
      <c r="IT13" s="43">
        <v>4</v>
      </c>
      <c r="IU13" s="43">
        <v>1</v>
      </c>
      <c r="IV13" s="43">
        <v>1</v>
      </c>
      <c r="IW13" s="43">
        <v>1</v>
      </c>
      <c r="IX13" s="43">
        <v>2</v>
      </c>
      <c r="IY13" s="43">
        <v>0</v>
      </c>
      <c r="IZ13" s="43">
        <v>3</v>
      </c>
      <c r="JA13" s="43">
        <v>1</v>
      </c>
      <c r="JB13" s="43">
        <v>1</v>
      </c>
      <c r="JC13" s="43">
        <v>2</v>
      </c>
      <c r="JD13" s="43">
        <v>3</v>
      </c>
      <c r="JE13" s="43">
        <v>2</v>
      </c>
      <c r="JF13" s="43">
        <v>0</v>
      </c>
      <c r="JG13" s="43">
        <v>0</v>
      </c>
      <c r="JH13" s="43">
        <v>0</v>
      </c>
      <c r="JI13" s="43">
        <v>2</v>
      </c>
      <c r="JJ13" s="43">
        <v>0</v>
      </c>
      <c r="JK13" s="43">
        <v>2</v>
      </c>
      <c r="JL13" s="43">
        <v>3</v>
      </c>
      <c r="JM13" s="43">
        <v>0</v>
      </c>
      <c r="JN13" s="43">
        <v>1</v>
      </c>
      <c r="JO13" s="43">
        <v>3</v>
      </c>
      <c r="JP13" s="43">
        <v>2</v>
      </c>
      <c r="JQ13" s="43">
        <v>1</v>
      </c>
      <c r="JR13" s="43">
        <v>2</v>
      </c>
      <c r="JS13" s="43">
        <v>1</v>
      </c>
      <c r="JT13" s="43">
        <v>1</v>
      </c>
      <c r="JU13" s="43">
        <v>3</v>
      </c>
      <c r="JV13" s="43">
        <v>0</v>
      </c>
      <c r="JW13" s="43">
        <v>1</v>
      </c>
      <c r="JX13" s="43">
        <v>2</v>
      </c>
      <c r="JY13" s="43">
        <v>0</v>
      </c>
      <c r="JZ13" s="43">
        <v>2</v>
      </c>
      <c r="KA13" s="43">
        <v>3</v>
      </c>
      <c r="KB13" s="43">
        <v>0</v>
      </c>
      <c r="KC13" s="43">
        <v>1</v>
      </c>
      <c r="KD13" s="43">
        <v>2</v>
      </c>
      <c r="KE13" s="43">
        <v>1</v>
      </c>
      <c r="KF13" s="43">
        <v>1</v>
      </c>
      <c r="KG13" s="43">
        <v>4</v>
      </c>
      <c r="KH13" s="43">
        <v>1</v>
      </c>
      <c r="KI13" s="43">
        <v>0</v>
      </c>
      <c r="KJ13" s="43">
        <v>1</v>
      </c>
      <c r="KK13" s="43">
        <v>1</v>
      </c>
      <c r="KL13" s="43">
        <v>0</v>
      </c>
      <c r="KM13" s="43">
        <v>3</v>
      </c>
      <c r="KN13" s="43">
        <v>1</v>
      </c>
      <c r="KO13" s="43">
        <v>1</v>
      </c>
    </row>
    <row r="14" spans="1:301" x14ac:dyDescent="0.4">
      <c r="A14" s="43">
        <v>10</v>
      </c>
      <c r="B14" s="43">
        <v>2</v>
      </c>
      <c r="C14" s="43">
        <v>1</v>
      </c>
      <c r="D14" s="43">
        <v>1</v>
      </c>
      <c r="E14" s="43">
        <v>1</v>
      </c>
      <c r="F14" s="43">
        <v>1</v>
      </c>
      <c r="G14" s="43">
        <v>0</v>
      </c>
      <c r="H14" s="43">
        <v>1</v>
      </c>
      <c r="I14" s="43">
        <v>0</v>
      </c>
      <c r="J14" s="43">
        <v>0</v>
      </c>
      <c r="K14" s="43">
        <v>3</v>
      </c>
      <c r="L14" s="43">
        <v>1</v>
      </c>
      <c r="M14" s="43">
        <v>1</v>
      </c>
      <c r="N14" s="43">
        <v>1</v>
      </c>
      <c r="O14" s="43">
        <v>1</v>
      </c>
      <c r="P14" s="43">
        <v>2</v>
      </c>
      <c r="Q14" s="43">
        <v>0</v>
      </c>
      <c r="R14" s="43">
        <v>0</v>
      </c>
      <c r="S14" s="43">
        <v>2</v>
      </c>
      <c r="T14" s="43">
        <v>3</v>
      </c>
      <c r="U14" s="43">
        <v>0</v>
      </c>
      <c r="V14" s="43">
        <v>1</v>
      </c>
      <c r="W14" s="43">
        <v>4</v>
      </c>
      <c r="X14" s="43">
        <v>1</v>
      </c>
      <c r="Y14" s="43">
        <v>1</v>
      </c>
      <c r="Z14" s="43">
        <v>2</v>
      </c>
      <c r="AA14" s="43">
        <v>0</v>
      </c>
      <c r="AB14" s="43">
        <v>1</v>
      </c>
      <c r="AC14" s="43">
        <v>3</v>
      </c>
      <c r="AD14" s="43">
        <v>1</v>
      </c>
      <c r="AE14" s="43">
        <v>1</v>
      </c>
      <c r="AF14" s="43">
        <v>2</v>
      </c>
      <c r="AG14" s="43">
        <v>1</v>
      </c>
      <c r="AH14" s="43">
        <v>0</v>
      </c>
      <c r="AI14" s="43">
        <v>1</v>
      </c>
      <c r="AJ14" s="43">
        <v>2</v>
      </c>
      <c r="AK14" s="43">
        <v>0</v>
      </c>
      <c r="AL14" s="43">
        <v>1</v>
      </c>
      <c r="AM14" s="43">
        <v>2</v>
      </c>
      <c r="AN14" s="43">
        <v>1</v>
      </c>
      <c r="AO14" s="43">
        <v>1</v>
      </c>
      <c r="AP14" s="43">
        <v>0</v>
      </c>
      <c r="AQ14" s="43">
        <v>2</v>
      </c>
      <c r="AR14" s="43">
        <v>1</v>
      </c>
      <c r="AS14" s="43">
        <v>1</v>
      </c>
      <c r="AT14" s="43">
        <v>0</v>
      </c>
      <c r="AU14" s="43">
        <v>4</v>
      </c>
      <c r="AV14" s="43">
        <v>0</v>
      </c>
      <c r="AW14" s="43">
        <v>0</v>
      </c>
      <c r="AX14" s="43">
        <v>4</v>
      </c>
      <c r="AY14" s="43">
        <v>1</v>
      </c>
      <c r="AZ14" s="43">
        <v>0</v>
      </c>
      <c r="BA14" s="43">
        <v>2</v>
      </c>
      <c r="BB14" s="43">
        <v>2</v>
      </c>
      <c r="BC14" s="43">
        <v>1</v>
      </c>
      <c r="BD14" s="43">
        <v>4</v>
      </c>
      <c r="BE14" s="43">
        <v>1</v>
      </c>
      <c r="BF14" s="43">
        <v>0</v>
      </c>
      <c r="BG14" s="43">
        <v>2</v>
      </c>
      <c r="BH14" s="43">
        <v>1</v>
      </c>
      <c r="BI14" s="43">
        <v>0</v>
      </c>
      <c r="BJ14" s="43">
        <v>3</v>
      </c>
      <c r="BK14" s="43">
        <v>0</v>
      </c>
      <c r="BL14" s="43">
        <v>0</v>
      </c>
      <c r="BM14" s="43">
        <v>4</v>
      </c>
      <c r="BN14" s="43">
        <v>0</v>
      </c>
      <c r="BO14" s="43">
        <v>1</v>
      </c>
      <c r="BP14" s="43">
        <v>1</v>
      </c>
      <c r="BQ14" s="43">
        <v>2</v>
      </c>
      <c r="BR14" s="43">
        <v>0</v>
      </c>
      <c r="BS14" s="43">
        <v>2</v>
      </c>
      <c r="BT14" s="43">
        <v>1</v>
      </c>
      <c r="BU14" s="43">
        <v>1</v>
      </c>
      <c r="BV14" s="43">
        <v>1</v>
      </c>
      <c r="BW14" s="43">
        <v>0</v>
      </c>
      <c r="BX14" s="43">
        <v>1</v>
      </c>
      <c r="BY14" s="43">
        <v>2</v>
      </c>
      <c r="BZ14" s="43">
        <v>2</v>
      </c>
      <c r="CA14" s="43">
        <v>0</v>
      </c>
      <c r="CB14" s="43">
        <v>3</v>
      </c>
      <c r="CC14" s="43">
        <v>1</v>
      </c>
      <c r="CD14" s="43">
        <v>0</v>
      </c>
      <c r="CE14" s="43">
        <v>3</v>
      </c>
      <c r="CF14" s="43">
        <v>1</v>
      </c>
      <c r="CG14" s="43">
        <v>1</v>
      </c>
      <c r="CH14" s="43">
        <v>4</v>
      </c>
      <c r="CI14" s="43">
        <v>1</v>
      </c>
      <c r="CJ14" s="43">
        <v>4</v>
      </c>
      <c r="CK14" s="43">
        <v>3</v>
      </c>
      <c r="CL14" s="43">
        <v>0</v>
      </c>
      <c r="CM14" s="43">
        <v>0</v>
      </c>
      <c r="CN14" s="43">
        <v>1</v>
      </c>
      <c r="CO14" s="43">
        <v>0</v>
      </c>
      <c r="CP14" s="43">
        <v>2</v>
      </c>
      <c r="CQ14" s="43">
        <v>3</v>
      </c>
      <c r="CR14" s="43">
        <v>1</v>
      </c>
      <c r="CS14" s="43">
        <v>2</v>
      </c>
      <c r="CT14" s="43">
        <v>2</v>
      </c>
      <c r="CU14" s="43">
        <v>1</v>
      </c>
      <c r="CV14" s="43">
        <v>1</v>
      </c>
      <c r="CW14" s="43">
        <v>2</v>
      </c>
      <c r="CX14" s="43">
        <v>0</v>
      </c>
      <c r="CY14" s="43">
        <v>0</v>
      </c>
      <c r="CZ14" s="43">
        <v>3</v>
      </c>
      <c r="DA14" s="43">
        <v>1</v>
      </c>
      <c r="DB14" s="43">
        <v>0</v>
      </c>
      <c r="DC14" s="43">
        <v>2</v>
      </c>
      <c r="DD14" s="43">
        <v>2</v>
      </c>
      <c r="DE14" s="43">
        <v>1</v>
      </c>
      <c r="DF14" s="43">
        <v>2</v>
      </c>
      <c r="DG14" s="43">
        <v>0</v>
      </c>
      <c r="DH14" s="43">
        <v>0</v>
      </c>
      <c r="DI14" s="43">
        <v>1</v>
      </c>
      <c r="DJ14" s="43">
        <v>1</v>
      </c>
      <c r="DK14" s="43">
        <v>2</v>
      </c>
      <c r="DL14" s="43">
        <v>0</v>
      </c>
      <c r="DM14" s="43">
        <v>1</v>
      </c>
      <c r="DN14" s="43">
        <v>0</v>
      </c>
      <c r="DO14" s="43">
        <v>2</v>
      </c>
      <c r="DP14" s="43">
        <v>1</v>
      </c>
      <c r="DQ14" s="43">
        <v>1</v>
      </c>
      <c r="DR14" s="43">
        <v>4</v>
      </c>
      <c r="DS14" s="43">
        <v>1</v>
      </c>
      <c r="DT14" s="43">
        <v>2</v>
      </c>
      <c r="DU14" s="43">
        <v>3</v>
      </c>
      <c r="DV14" s="43">
        <v>1</v>
      </c>
      <c r="DW14" s="43">
        <v>1</v>
      </c>
      <c r="DX14" s="43">
        <v>4</v>
      </c>
      <c r="DY14" s="43">
        <v>1</v>
      </c>
      <c r="DZ14" s="43">
        <v>1</v>
      </c>
      <c r="EA14" s="43">
        <v>2</v>
      </c>
      <c r="EB14" s="43">
        <v>1</v>
      </c>
      <c r="EC14" s="43">
        <v>1</v>
      </c>
      <c r="ED14" s="43">
        <v>3</v>
      </c>
      <c r="EE14" s="43">
        <v>1</v>
      </c>
      <c r="EF14" s="43">
        <v>1</v>
      </c>
      <c r="EG14" s="43">
        <v>3</v>
      </c>
      <c r="EH14" s="43">
        <v>0</v>
      </c>
      <c r="EI14" s="43">
        <v>1</v>
      </c>
      <c r="EJ14" s="43">
        <v>2</v>
      </c>
      <c r="EK14" s="43">
        <v>1</v>
      </c>
      <c r="EL14" s="43">
        <v>0</v>
      </c>
      <c r="EM14" s="43">
        <v>2</v>
      </c>
      <c r="EN14" s="43">
        <v>0</v>
      </c>
      <c r="EO14" s="43">
        <v>1</v>
      </c>
      <c r="EP14" s="43">
        <v>2</v>
      </c>
      <c r="EQ14" s="43">
        <v>2</v>
      </c>
      <c r="ER14" s="43">
        <v>1</v>
      </c>
      <c r="ES14" s="43">
        <v>3</v>
      </c>
      <c r="ET14" s="43">
        <v>2</v>
      </c>
      <c r="EU14" s="43">
        <v>0</v>
      </c>
      <c r="EV14" s="43">
        <v>0</v>
      </c>
      <c r="EW14" s="43">
        <v>1</v>
      </c>
      <c r="EX14" s="43">
        <v>0</v>
      </c>
      <c r="EY14" s="43">
        <v>3</v>
      </c>
      <c r="EZ14" s="43">
        <v>0</v>
      </c>
      <c r="FA14" s="43">
        <v>2</v>
      </c>
      <c r="FB14" s="43">
        <v>2</v>
      </c>
      <c r="FC14" s="43">
        <v>2</v>
      </c>
      <c r="FD14" s="43">
        <v>2</v>
      </c>
      <c r="FE14" s="43">
        <v>2</v>
      </c>
      <c r="FF14" s="43">
        <v>1</v>
      </c>
      <c r="FG14" s="43">
        <v>1</v>
      </c>
      <c r="FH14" s="43">
        <v>4</v>
      </c>
      <c r="FI14" s="43">
        <v>1</v>
      </c>
      <c r="FJ14" s="43">
        <v>1</v>
      </c>
      <c r="FK14" s="43">
        <v>3</v>
      </c>
      <c r="FL14" s="43">
        <v>0</v>
      </c>
      <c r="FM14" s="43">
        <v>0</v>
      </c>
      <c r="FN14" s="43">
        <v>3</v>
      </c>
      <c r="FO14" s="43">
        <v>2</v>
      </c>
      <c r="FP14" s="43">
        <v>1</v>
      </c>
      <c r="FQ14" s="43">
        <v>3</v>
      </c>
      <c r="FR14" s="43">
        <v>1</v>
      </c>
      <c r="FS14" s="43">
        <v>1</v>
      </c>
      <c r="FT14" s="43">
        <v>3</v>
      </c>
      <c r="FU14" s="43">
        <v>1</v>
      </c>
      <c r="FV14" s="43">
        <v>0</v>
      </c>
      <c r="FW14" s="43">
        <v>4</v>
      </c>
      <c r="FX14" s="43">
        <v>1</v>
      </c>
      <c r="FY14" s="43">
        <v>1</v>
      </c>
      <c r="FZ14" s="43">
        <v>2</v>
      </c>
      <c r="GA14" s="43">
        <v>3</v>
      </c>
      <c r="GB14" s="43">
        <v>1</v>
      </c>
      <c r="GC14" s="43">
        <v>0</v>
      </c>
      <c r="GD14" s="43">
        <v>1</v>
      </c>
      <c r="GE14" s="43">
        <v>0</v>
      </c>
      <c r="GF14" s="43">
        <v>1</v>
      </c>
      <c r="GG14" s="43">
        <v>2</v>
      </c>
      <c r="GH14" s="43">
        <v>2</v>
      </c>
      <c r="GI14" s="43">
        <v>0</v>
      </c>
      <c r="GJ14" s="43">
        <v>0</v>
      </c>
      <c r="GK14" s="43">
        <v>1</v>
      </c>
      <c r="GL14" s="43">
        <v>2</v>
      </c>
      <c r="GM14" s="43">
        <v>2</v>
      </c>
      <c r="GN14" s="43">
        <v>0</v>
      </c>
      <c r="GO14" s="43">
        <v>3</v>
      </c>
      <c r="GP14" s="43">
        <v>0</v>
      </c>
      <c r="GQ14" s="43">
        <v>1</v>
      </c>
      <c r="GR14" s="43">
        <v>1</v>
      </c>
      <c r="GS14" s="43">
        <v>0</v>
      </c>
      <c r="GT14" s="43">
        <v>1</v>
      </c>
      <c r="GU14" s="43">
        <v>2</v>
      </c>
      <c r="GV14" s="43">
        <v>2</v>
      </c>
      <c r="GW14" s="43">
        <v>0</v>
      </c>
      <c r="GX14" s="43">
        <v>3</v>
      </c>
      <c r="GY14" s="43">
        <v>0</v>
      </c>
      <c r="GZ14" s="43">
        <v>0</v>
      </c>
      <c r="HA14" s="43">
        <v>4</v>
      </c>
      <c r="HB14" s="43">
        <v>1</v>
      </c>
      <c r="HC14" s="43">
        <v>1</v>
      </c>
      <c r="HD14" s="43">
        <v>1</v>
      </c>
      <c r="HE14" s="43">
        <v>2</v>
      </c>
      <c r="HF14" s="43">
        <v>1</v>
      </c>
      <c r="HG14" s="43">
        <v>2</v>
      </c>
      <c r="HH14" s="43">
        <v>0</v>
      </c>
      <c r="HI14" s="43">
        <v>2</v>
      </c>
      <c r="HJ14" s="43">
        <v>1</v>
      </c>
      <c r="HK14" s="43">
        <v>1</v>
      </c>
      <c r="HL14" s="43">
        <v>1</v>
      </c>
      <c r="HM14" s="43">
        <v>1</v>
      </c>
      <c r="HN14" s="43">
        <v>2</v>
      </c>
      <c r="HO14" s="43">
        <v>0</v>
      </c>
      <c r="HP14" s="43">
        <v>3</v>
      </c>
      <c r="HQ14" s="43">
        <v>1</v>
      </c>
      <c r="HR14" s="43">
        <v>0</v>
      </c>
      <c r="HS14" s="43">
        <v>2</v>
      </c>
      <c r="HT14" s="43">
        <v>0</v>
      </c>
      <c r="HU14" s="43">
        <v>0</v>
      </c>
      <c r="HV14" s="43">
        <v>0</v>
      </c>
      <c r="HW14" s="43">
        <v>2</v>
      </c>
      <c r="HX14" s="43">
        <v>3</v>
      </c>
      <c r="HY14" s="43">
        <v>2</v>
      </c>
      <c r="HZ14" s="43">
        <v>2</v>
      </c>
      <c r="IA14" s="43">
        <v>1</v>
      </c>
      <c r="IB14" s="43">
        <v>3</v>
      </c>
      <c r="IC14" s="43">
        <v>2</v>
      </c>
      <c r="ID14" s="43">
        <v>1</v>
      </c>
      <c r="IE14" s="43">
        <v>3</v>
      </c>
      <c r="IF14" s="43">
        <v>1</v>
      </c>
      <c r="IG14" s="43">
        <v>1</v>
      </c>
      <c r="IH14" s="43">
        <v>3</v>
      </c>
      <c r="II14" s="43">
        <v>1</v>
      </c>
      <c r="IJ14" s="43">
        <v>0</v>
      </c>
      <c r="IK14" s="43">
        <v>2</v>
      </c>
      <c r="IL14" s="43">
        <v>1</v>
      </c>
      <c r="IM14" s="43">
        <v>0</v>
      </c>
      <c r="IN14" s="43">
        <v>4</v>
      </c>
      <c r="IO14" s="43">
        <v>0</v>
      </c>
      <c r="IP14" s="43">
        <v>1</v>
      </c>
      <c r="IQ14" s="43">
        <v>4</v>
      </c>
      <c r="IR14" s="43">
        <v>0</v>
      </c>
      <c r="IS14" s="43">
        <v>0</v>
      </c>
      <c r="IT14" s="43">
        <v>1</v>
      </c>
      <c r="IU14" s="43">
        <v>1</v>
      </c>
      <c r="IV14" s="43">
        <v>1</v>
      </c>
      <c r="IW14" s="43">
        <v>4</v>
      </c>
      <c r="IX14" s="43">
        <v>2</v>
      </c>
      <c r="IY14" s="43">
        <v>1</v>
      </c>
      <c r="IZ14" s="43">
        <v>2</v>
      </c>
      <c r="JA14" s="43">
        <v>2</v>
      </c>
      <c r="JB14" s="43">
        <v>0</v>
      </c>
      <c r="JC14" s="43">
        <v>2</v>
      </c>
      <c r="JD14" s="43">
        <v>3</v>
      </c>
      <c r="JE14" s="43">
        <v>0</v>
      </c>
      <c r="JF14" s="43">
        <v>2</v>
      </c>
      <c r="JG14" s="43">
        <v>0</v>
      </c>
      <c r="JH14" s="43">
        <v>1</v>
      </c>
      <c r="JI14" s="43">
        <v>2</v>
      </c>
      <c r="JJ14" s="43">
        <v>1</v>
      </c>
      <c r="JK14" s="43">
        <v>0</v>
      </c>
      <c r="JL14" s="43">
        <v>3</v>
      </c>
      <c r="JM14" s="43">
        <v>2</v>
      </c>
      <c r="JN14" s="43">
        <v>1</v>
      </c>
      <c r="JO14" s="43">
        <v>1</v>
      </c>
      <c r="JP14" s="43">
        <v>2</v>
      </c>
      <c r="JQ14" s="43">
        <v>1</v>
      </c>
      <c r="JR14" s="43">
        <v>3</v>
      </c>
      <c r="JS14" s="43">
        <v>0</v>
      </c>
      <c r="JT14" s="43">
        <v>1</v>
      </c>
      <c r="JU14" s="43">
        <v>3</v>
      </c>
      <c r="JV14" s="43">
        <v>1</v>
      </c>
      <c r="JW14" s="43">
        <v>2</v>
      </c>
      <c r="JX14" s="43">
        <v>3</v>
      </c>
      <c r="JY14" s="43">
        <v>1</v>
      </c>
      <c r="JZ14" s="43">
        <v>1</v>
      </c>
      <c r="KA14" s="43">
        <v>2</v>
      </c>
      <c r="KB14" s="43">
        <v>2</v>
      </c>
      <c r="KC14" s="43">
        <v>0</v>
      </c>
      <c r="KD14" s="43">
        <v>3</v>
      </c>
      <c r="KE14" s="43">
        <v>1</v>
      </c>
      <c r="KF14" s="43">
        <v>0</v>
      </c>
      <c r="KG14" s="43">
        <v>3</v>
      </c>
      <c r="KH14" s="43">
        <v>1</v>
      </c>
      <c r="KI14" s="43">
        <v>1</v>
      </c>
      <c r="KJ14" s="43">
        <v>2</v>
      </c>
      <c r="KK14" s="43">
        <v>1</v>
      </c>
      <c r="KL14" s="43">
        <v>0</v>
      </c>
      <c r="KM14" s="43">
        <v>4</v>
      </c>
      <c r="KN14" s="43">
        <v>1</v>
      </c>
      <c r="KO14" s="43">
        <v>1</v>
      </c>
    </row>
    <row r="15" spans="1:301" x14ac:dyDescent="0.4">
      <c r="A15" s="43">
        <v>11</v>
      </c>
      <c r="B15" s="43">
        <v>4</v>
      </c>
      <c r="C15" s="43">
        <v>1</v>
      </c>
      <c r="D15" s="43">
        <v>1</v>
      </c>
      <c r="E15" s="43">
        <v>1</v>
      </c>
      <c r="F15" s="43">
        <v>2</v>
      </c>
      <c r="G15" s="43">
        <v>2</v>
      </c>
      <c r="H15" s="43">
        <v>1</v>
      </c>
      <c r="I15" s="43">
        <v>0</v>
      </c>
      <c r="J15" s="43">
        <v>0</v>
      </c>
      <c r="K15" s="43">
        <v>2</v>
      </c>
      <c r="L15" s="43">
        <v>1</v>
      </c>
      <c r="M15" s="43">
        <v>0</v>
      </c>
      <c r="N15" s="43">
        <v>3</v>
      </c>
      <c r="O15" s="43">
        <v>0</v>
      </c>
      <c r="P15" s="43">
        <v>0</v>
      </c>
      <c r="Q15" s="43">
        <v>2</v>
      </c>
      <c r="R15" s="43">
        <v>0</v>
      </c>
      <c r="S15" s="43">
        <v>0</v>
      </c>
      <c r="T15" s="43">
        <v>2</v>
      </c>
      <c r="U15" s="43">
        <v>0</v>
      </c>
      <c r="V15" s="43">
        <v>1</v>
      </c>
      <c r="W15" s="43">
        <v>1</v>
      </c>
      <c r="X15" s="43">
        <v>0</v>
      </c>
      <c r="Y15" s="43">
        <v>0</v>
      </c>
      <c r="Z15" s="43">
        <v>2</v>
      </c>
      <c r="AA15" s="43">
        <v>0</v>
      </c>
      <c r="AB15" s="43">
        <v>0</v>
      </c>
      <c r="AC15" s="43">
        <v>1</v>
      </c>
      <c r="AD15" s="43">
        <v>0</v>
      </c>
      <c r="AE15" s="43">
        <v>1</v>
      </c>
      <c r="AF15" s="43">
        <v>3</v>
      </c>
      <c r="AG15" s="43">
        <v>2</v>
      </c>
      <c r="AH15" s="43">
        <v>1</v>
      </c>
      <c r="AI15" s="43">
        <v>2</v>
      </c>
      <c r="AJ15" s="43">
        <v>3</v>
      </c>
      <c r="AK15" s="43">
        <v>0</v>
      </c>
      <c r="AL15" s="43">
        <v>1</v>
      </c>
      <c r="AM15" s="43">
        <v>1</v>
      </c>
      <c r="AN15" s="43">
        <v>1</v>
      </c>
      <c r="AO15" s="43">
        <v>2</v>
      </c>
      <c r="AP15" s="43">
        <v>1</v>
      </c>
      <c r="AQ15" s="43">
        <v>0</v>
      </c>
      <c r="AR15" s="43">
        <v>2</v>
      </c>
      <c r="AS15" s="43">
        <v>1</v>
      </c>
      <c r="AT15" s="43">
        <v>1</v>
      </c>
      <c r="AU15" s="43">
        <v>3</v>
      </c>
      <c r="AV15" s="43">
        <v>1</v>
      </c>
      <c r="AW15" s="43">
        <v>1</v>
      </c>
      <c r="AX15" s="43">
        <v>3</v>
      </c>
      <c r="AY15" s="43">
        <v>2</v>
      </c>
      <c r="AZ15" s="43">
        <v>2</v>
      </c>
      <c r="BA15" s="43">
        <v>3</v>
      </c>
      <c r="BB15" s="43">
        <v>1</v>
      </c>
      <c r="BC15" s="43">
        <v>1</v>
      </c>
      <c r="BD15" s="43">
        <v>3</v>
      </c>
      <c r="BE15" s="43">
        <v>1</v>
      </c>
      <c r="BF15" s="43">
        <v>2</v>
      </c>
      <c r="BG15" s="43">
        <v>3</v>
      </c>
      <c r="BH15" s="43">
        <v>3</v>
      </c>
      <c r="BI15" s="43">
        <v>0</v>
      </c>
      <c r="BJ15" s="43">
        <v>4</v>
      </c>
      <c r="BK15" s="43">
        <v>2</v>
      </c>
      <c r="BL15" s="43">
        <v>0</v>
      </c>
      <c r="BM15" s="43">
        <v>3</v>
      </c>
      <c r="BN15" s="43">
        <v>0</v>
      </c>
      <c r="BO15" s="43">
        <v>2</v>
      </c>
      <c r="BP15" s="43">
        <v>3</v>
      </c>
      <c r="BQ15" s="43">
        <v>1</v>
      </c>
      <c r="BR15" s="43">
        <v>0</v>
      </c>
      <c r="BS15" s="43">
        <v>4</v>
      </c>
      <c r="BT15" s="43">
        <v>2</v>
      </c>
      <c r="BU15" s="43">
        <v>0</v>
      </c>
      <c r="BV15" s="43">
        <v>2</v>
      </c>
      <c r="BW15" s="43">
        <v>1</v>
      </c>
      <c r="BX15" s="43">
        <v>0</v>
      </c>
      <c r="BY15" s="43">
        <v>3</v>
      </c>
      <c r="BZ15" s="43">
        <v>2</v>
      </c>
      <c r="CA15" s="43">
        <v>0</v>
      </c>
      <c r="CB15" s="43">
        <v>2</v>
      </c>
      <c r="CC15" s="43">
        <v>1</v>
      </c>
      <c r="CD15" s="43">
        <v>1</v>
      </c>
      <c r="CE15" s="43">
        <v>3</v>
      </c>
      <c r="CF15" s="43">
        <v>1</v>
      </c>
      <c r="CG15" s="43">
        <v>1</v>
      </c>
      <c r="CH15" s="43">
        <v>3</v>
      </c>
      <c r="CI15" s="43">
        <v>0</v>
      </c>
      <c r="CJ15" s="43">
        <v>2</v>
      </c>
      <c r="CK15" s="43">
        <v>2</v>
      </c>
      <c r="CL15" s="43">
        <v>1</v>
      </c>
      <c r="CM15" s="43">
        <v>0</v>
      </c>
      <c r="CN15" s="43">
        <v>1</v>
      </c>
      <c r="CO15" s="43">
        <v>2</v>
      </c>
      <c r="CP15" s="43">
        <v>3</v>
      </c>
      <c r="CQ15" s="43">
        <v>3</v>
      </c>
      <c r="CR15" s="43">
        <v>1</v>
      </c>
      <c r="CS15" s="43">
        <v>2</v>
      </c>
      <c r="CT15" s="43">
        <v>1</v>
      </c>
      <c r="CU15" s="43">
        <v>0</v>
      </c>
      <c r="CV15" s="43">
        <v>1</v>
      </c>
      <c r="CW15" s="43">
        <v>2</v>
      </c>
      <c r="CX15" s="43">
        <v>1</v>
      </c>
      <c r="CY15" s="43">
        <v>0</v>
      </c>
      <c r="CZ15" s="43">
        <v>2</v>
      </c>
      <c r="DA15" s="43">
        <v>2</v>
      </c>
      <c r="DB15" s="43">
        <v>1</v>
      </c>
      <c r="DC15" s="43">
        <v>3</v>
      </c>
      <c r="DD15" s="43">
        <v>0</v>
      </c>
      <c r="DE15" s="43">
        <v>1</v>
      </c>
      <c r="DF15" s="43">
        <v>2</v>
      </c>
      <c r="DG15" s="43">
        <v>0</v>
      </c>
      <c r="DH15" s="43">
        <v>2</v>
      </c>
      <c r="DI15" s="43">
        <v>2</v>
      </c>
      <c r="DJ15" s="43">
        <v>2</v>
      </c>
      <c r="DK15" s="43">
        <v>1</v>
      </c>
      <c r="DL15" s="43">
        <v>1</v>
      </c>
      <c r="DM15" s="43">
        <v>2</v>
      </c>
      <c r="DN15" s="43">
        <v>0</v>
      </c>
      <c r="DO15" s="43">
        <v>2</v>
      </c>
      <c r="DP15" s="43">
        <v>1</v>
      </c>
      <c r="DQ15" s="43">
        <v>0</v>
      </c>
      <c r="DR15" s="43">
        <v>2</v>
      </c>
      <c r="DS15" s="43">
        <v>1</v>
      </c>
      <c r="DT15" s="43">
        <v>0</v>
      </c>
      <c r="DU15" s="43">
        <v>1</v>
      </c>
      <c r="DV15" s="43">
        <v>0</v>
      </c>
      <c r="DW15" s="43">
        <v>3</v>
      </c>
      <c r="DX15" s="43">
        <v>1</v>
      </c>
      <c r="DY15" s="43">
        <v>0</v>
      </c>
      <c r="DZ15" s="43">
        <v>1</v>
      </c>
      <c r="EA15" s="43">
        <v>3</v>
      </c>
      <c r="EB15" s="43">
        <v>0</v>
      </c>
      <c r="EC15" s="43">
        <v>0</v>
      </c>
      <c r="ED15" s="43">
        <v>4</v>
      </c>
      <c r="EE15" s="43">
        <v>1</v>
      </c>
      <c r="EF15" s="43">
        <v>0</v>
      </c>
      <c r="EG15" s="43">
        <v>3</v>
      </c>
      <c r="EH15" s="43">
        <v>0</v>
      </c>
      <c r="EI15" s="43">
        <v>0</v>
      </c>
      <c r="EJ15" s="43">
        <v>4</v>
      </c>
      <c r="EK15" s="43">
        <v>0</v>
      </c>
      <c r="EL15" s="43">
        <v>1</v>
      </c>
      <c r="EM15" s="43">
        <v>3</v>
      </c>
      <c r="EN15" s="43">
        <v>0</v>
      </c>
      <c r="EO15" s="43">
        <v>1</v>
      </c>
      <c r="EP15" s="43">
        <v>2</v>
      </c>
      <c r="EQ15" s="43">
        <v>1</v>
      </c>
      <c r="ER15" s="43">
        <v>0</v>
      </c>
      <c r="ES15" s="43">
        <v>1</v>
      </c>
      <c r="ET15" s="43">
        <v>2</v>
      </c>
      <c r="EU15" s="43">
        <v>1</v>
      </c>
      <c r="EV15" s="43">
        <v>3</v>
      </c>
      <c r="EW15" s="43">
        <v>1</v>
      </c>
      <c r="EX15" s="43">
        <v>0</v>
      </c>
      <c r="EY15" s="43">
        <v>3</v>
      </c>
      <c r="EZ15" s="43">
        <v>0</v>
      </c>
      <c r="FA15" s="43">
        <v>1</v>
      </c>
      <c r="FB15" s="43">
        <v>4</v>
      </c>
      <c r="FC15" s="43">
        <v>3</v>
      </c>
      <c r="FD15" s="43">
        <v>0</v>
      </c>
      <c r="FE15" s="43">
        <v>2</v>
      </c>
      <c r="FF15" s="43">
        <v>1</v>
      </c>
      <c r="FG15" s="43">
        <v>1</v>
      </c>
      <c r="FH15" s="43">
        <v>1</v>
      </c>
      <c r="FI15" s="43">
        <v>0</v>
      </c>
      <c r="FJ15" s="43">
        <v>0</v>
      </c>
      <c r="FK15" s="43">
        <v>2</v>
      </c>
      <c r="FL15" s="43">
        <v>1</v>
      </c>
      <c r="FM15" s="43">
        <v>0</v>
      </c>
      <c r="FN15" s="43">
        <v>3</v>
      </c>
      <c r="FO15" s="43">
        <v>2</v>
      </c>
      <c r="FP15" s="43">
        <v>0</v>
      </c>
      <c r="FQ15" s="43">
        <v>2</v>
      </c>
      <c r="FR15" s="43">
        <v>2</v>
      </c>
      <c r="FS15" s="43">
        <v>0</v>
      </c>
      <c r="FT15" s="43">
        <v>2</v>
      </c>
      <c r="FU15" s="43">
        <v>1</v>
      </c>
      <c r="FV15" s="43">
        <v>1</v>
      </c>
      <c r="FW15" s="43">
        <v>1</v>
      </c>
      <c r="FX15" s="43">
        <v>0</v>
      </c>
      <c r="FY15" s="43">
        <v>1</v>
      </c>
      <c r="FZ15" s="43">
        <v>2</v>
      </c>
      <c r="GA15" s="43">
        <v>0</v>
      </c>
      <c r="GB15" s="43">
        <v>1</v>
      </c>
      <c r="GC15" s="43">
        <v>3</v>
      </c>
      <c r="GD15" s="43">
        <v>2</v>
      </c>
      <c r="GE15" s="43">
        <v>0</v>
      </c>
      <c r="GF15" s="43">
        <v>1</v>
      </c>
      <c r="GG15" s="43">
        <v>1</v>
      </c>
      <c r="GH15" s="43">
        <v>1</v>
      </c>
      <c r="GI15" s="43">
        <v>1</v>
      </c>
      <c r="GJ15" s="43">
        <v>2</v>
      </c>
      <c r="GK15" s="43">
        <v>0</v>
      </c>
      <c r="GL15" s="43">
        <v>2</v>
      </c>
      <c r="GM15" s="43">
        <v>2</v>
      </c>
      <c r="GN15" s="43">
        <v>1</v>
      </c>
      <c r="GO15" s="43">
        <v>4</v>
      </c>
      <c r="GP15" s="43">
        <v>1</v>
      </c>
      <c r="GQ15" s="43">
        <v>0</v>
      </c>
      <c r="GR15" s="43">
        <v>3</v>
      </c>
      <c r="GS15" s="43">
        <v>0</v>
      </c>
      <c r="GT15" s="43">
        <v>1</v>
      </c>
      <c r="GU15" s="43">
        <v>4</v>
      </c>
      <c r="GV15" s="43">
        <v>1</v>
      </c>
      <c r="GW15" s="43">
        <v>1</v>
      </c>
      <c r="GX15" s="43">
        <v>4</v>
      </c>
      <c r="GY15" s="43">
        <v>0</v>
      </c>
      <c r="GZ15" s="43">
        <v>0</v>
      </c>
      <c r="HA15" s="43">
        <v>3</v>
      </c>
      <c r="HB15" s="43">
        <v>0</v>
      </c>
      <c r="HC15" s="43">
        <v>2</v>
      </c>
      <c r="HD15" s="43">
        <v>3</v>
      </c>
      <c r="HE15" s="43">
        <v>2</v>
      </c>
      <c r="HF15" s="43">
        <v>1</v>
      </c>
      <c r="HG15" s="43">
        <v>1</v>
      </c>
      <c r="HH15" s="43">
        <v>0</v>
      </c>
      <c r="HI15" s="43">
        <v>2</v>
      </c>
      <c r="HJ15" s="43">
        <v>3</v>
      </c>
      <c r="HK15" s="43">
        <v>1</v>
      </c>
      <c r="HL15" s="43">
        <v>2</v>
      </c>
      <c r="HM15" s="43">
        <v>3</v>
      </c>
      <c r="HN15" s="43">
        <v>0</v>
      </c>
      <c r="HO15" s="43">
        <v>0</v>
      </c>
      <c r="HP15" s="43">
        <v>3</v>
      </c>
      <c r="HQ15" s="43">
        <v>1</v>
      </c>
      <c r="HR15" s="43">
        <v>1</v>
      </c>
      <c r="HS15" s="43">
        <v>4</v>
      </c>
      <c r="HT15" s="43">
        <v>1</v>
      </c>
      <c r="HU15" s="43">
        <v>0</v>
      </c>
      <c r="HV15" s="43">
        <v>2</v>
      </c>
      <c r="HW15" s="43">
        <v>1</v>
      </c>
      <c r="HX15" s="43">
        <v>0</v>
      </c>
      <c r="HY15" s="43">
        <v>2</v>
      </c>
      <c r="HZ15" s="43">
        <v>1</v>
      </c>
      <c r="IA15" s="43">
        <v>1</v>
      </c>
      <c r="IB15" s="43">
        <v>3</v>
      </c>
      <c r="IC15" s="43">
        <v>0</v>
      </c>
      <c r="ID15" s="43">
        <v>2</v>
      </c>
      <c r="IE15" s="43">
        <v>2</v>
      </c>
      <c r="IF15" s="43">
        <v>1</v>
      </c>
      <c r="IG15" s="43">
        <v>0</v>
      </c>
      <c r="IH15" s="43">
        <v>3</v>
      </c>
      <c r="II15" s="43">
        <v>1</v>
      </c>
      <c r="IJ15" s="43">
        <v>1</v>
      </c>
      <c r="IK15" s="43">
        <v>2</v>
      </c>
      <c r="IL15" s="43">
        <v>1</v>
      </c>
      <c r="IM15" s="43">
        <v>2</v>
      </c>
      <c r="IN15" s="43">
        <v>0</v>
      </c>
      <c r="IO15" s="43">
        <v>2</v>
      </c>
      <c r="IP15" s="43">
        <v>0</v>
      </c>
      <c r="IQ15" s="43">
        <v>1</v>
      </c>
      <c r="IR15" s="43">
        <v>1</v>
      </c>
      <c r="IS15" s="43">
        <v>1</v>
      </c>
      <c r="IT15" s="43">
        <v>2</v>
      </c>
      <c r="IU15" s="43">
        <v>1</v>
      </c>
      <c r="IV15" s="43">
        <v>0</v>
      </c>
      <c r="IW15" s="43">
        <v>4</v>
      </c>
      <c r="IX15" s="43">
        <v>1</v>
      </c>
      <c r="IY15" s="43">
        <v>1</v>
      </c>
      <c r="IZ15" s="43">
        <v>2</v>
      </c>
      <c r="JA15" s="43">
        <v>0</v>
      </c>
      <c r="JB15" s="43">
        <v>0</v>
      </c>
      <c r="JC15" s="43">
        <v>3</v>
      </c>
      <c r="JD15" s="43">
        <v>2</v>
      </c>
      <c r="JE15" s="43">
        <v>0</v>
      </c>
      <c r="JF15" s="43">
        <v>3</v>
      </c>
      <c r="JG15" s="43">
        <v>1</v>
      </c>
      <c r="JH15" s="43">
        <v>2</v>
      </c>
      <c r="JI15" s="43">
        <v>3</v>
      </c>
      <c r="JJ15" s="43">
        <v>1</v>
      </c>
      <c r="JK15" s="43">
        <v>1</v>
      </c>
      <c r="JL15" s="43">
        <v>1</v>
      </c>
      <c r="JM15" s="43">
        <v>0</v>
      </c>
      <c r="JN15" s="43">
        <v>2</v>
      </c>
      <c r="JO15" s="43">
        <v>3</v>
      </c>
      <c r="JP15" s="43">
        <v>1</v>
      </c>
      <c r="JQ15" s="43">
        <v>2</v>
      </c>
      <c r="JR15" s="43">
        <v>3</v>
      </c>
      <c r="JS15" s="43">
        <v>0</v>
      </c>
      <c r="JT15" s="43">
        <v>1</v>
      </c>
      <c r="JU15" s="43">
        <v>2</v>
      </c>
      <c r="JV15" s="43">
        <v>0</v>
      </c>
      <c r="JW15" s="43">
        <v>2</v>
      </c>
      <c r="JX15" s="43">
        <v>2</v>
      </c>
      <c r="JY15" s="43">
        <v>2</v>
      </c>
      <c r="JZ15" s="43">
        <v>1</v>
      </c>
      <c r="KA15" s="43">
        <v>4</v>
      </c>
      <c r="KB15" s="43">
        <v>2</v>
      </c>
      <c r="KC15" s="43">
        <v>0</v>
      </c>
      <c r="KD15" s="43">
        <v>2</v>
      </c>
      <c r="KE15" s="43">
        <v>1</v>
      </c>
      <c r="KF15" s="43">
        <v>1</v>
      </c>
      <c r="KG15" s="43">
        <v>3</v>
      </c>
      <c r="KH15" s="43">
        <v>1</v>
      </c>
      <c r="KI15" s="43">
        <v>0</v>
      </c>
      <c r="KJ15" s="43">
        <v>4</v>
      </c>
      <c r="KK15" s="43">
        <v>2</v>
      </c>
      <c r="KL15" s="43">
        <v>3</v>
      </c>
      <c r="KM15" s="43">
        <v>2</v>
      </c>
      <c r="KN15" s="43">
        <v>2</v>
      </c>
      <c r="KO15" s="43">
        <v>1</v>
      </c>
    </row>
    <row r="16" spans="1:301" x14ac:dyDescent="0.4">
      <c r="A16" s="43">
        <v>12</v>
      </c>
      <c r="B16" s="43">
        <v>3</v>
      </c>
      <c r="C16" s="43">
        <v>1</v>
      </c>
      <c r="D16" s="43">
        <v>0</v>
      </c>
      <c r="E16" s="43">
        <v>4</v>
      </c>
      <c r="F16" s="43">
        <v>1</v>
      </c>
      <c r="G16" s="43">
        <v>0</v>
      </c>
      <c r="H16" s="43">
        <v>4</v>
      </c>
      <c r="I16" s="43">
        <v>0</v>
      </c>
      <c r="J16" s="43">
        <v>0</v>
      </c>
      <c r="K16" s="43">
        <v>2</v>
      </c>
      <c r="L16" s="43">
        <v>0</v>
      </c>
      <c r="M16" s="43">
        <v>1</v>
      </c>
      <c r="N16" s="43">
        <v>2</v>
      </c>
      <c r="O16" s="43">
        <v>2</v>
      </c>
      <c r="P16" s="43">
        <v>2</v>
      </c>
      <c r="Q16" s="43">
        <v>3</v>
      </c>
      <c r="R16" s="43">
        <v>1</v>
      </c>
      <c r="S16" s="43">
        <v>2</v>
      </c>
      <c r="T16" s="43">
        <v>3</v>
      </c>
      <c r="U16" s="43">
        <v>0</v>
      </c>
      <c r="V16" s="43">
        <v>0</v>
      </c>
      <c r="W16" s="43">
        <v>3</v>
      </c>
      <c r="X16" s="43">
        <v>1</v>
      </c>
      <c r="Y16" s="43">
        <v>0</v>
      </c>
      <c r="Z16" s="43">
        <v>2</v>
      </c>
      <c r="AA16" s="43">
        <v>0</v>
      </c>
      <c r="AB16" s="43">
        <v>1</v>
      </c>
      <c r="AC16" s="43">
        <v>2</v>
      </c>
      <c r="AD16" s="43">
        <v>2</v>
      </c>
      <c r="AE16" s="43">
        <v>1</v>
      </c>
      <c r="AF16" s="43">
        <v>2</v>
      </c>
      <c r="AG16" s="43">
        <v>0</v>
      </c>
      <c r="AH16" s="43">
        <v>0</v>
      </c>
      <c r="AI16" s="43">
        <v>1</v>
      </c>
      <c r="AJ16" s="43">
        <v>1</v>
      </c>
      <c r="AK16" s="43">
        <v>0</v>
      </c>
      <c r="AL16" s="43">
        <v>3</v>
      </c>
      <c r="AM16" s="43">
        <v>0</v>
      </c>
      <c r="AN16" s="43">
        <v>1</v>
      </c>
      <c r="AO16" s="43">
        <v>3</v>
      </c>
      <c r="AP16" s="43">
        <v>1</v>
      </c>
      <c r="AQ16" s="43">
        <v>1</v>
      </c>
      <c r="AR16" s="43">
        <v>3</v>
      </c>
      <c r="AS16" s="43">
        <v>1</v>
      </c>
      <c r="AT16" s="43">
        <v>0</v>
      </c>
      <c r="AU16" s="43">
        <v>2</v>
      </c>
      <c r="AV16" s="43">
        <v>0</v>
      </c>
      <c r="AW16" s="43">
        <v>1</v>
      </c>
      <c r="AX16" s="43">
        <v>3</v>
      </c>
      <c r="AY16" s="43">
        <v>1</v>
      </c>
      <c r="AZ16" s="43">
        <v>1</v>
      </c>
      <c r="BA16" s="43">
        <v>3</v>
      </c>
      <c r="BB16" s="43">
        <v>1</v>
      </c>
      <c r="BC16" s="43">
        <v>1</v>
      </c>
      <c r="BD16" s="43">
        <v>3</v>
      </c>
      <c r="BE16" s="43">
        <v>1</v>
      </c>
      <c r="BF16" s="43">
        <v>0</v>
      </c>
      <c r="BG16" s="43">
        <v>2</v>
      </c>
      <c r="BH16" s="43">
        <v>1</v>
      </c>
      <c r="BI16" s="43">
        <v>1</v>
      </c>
      <c r="BJ16" s="43">
        <v>3</v>
      </c>
      <c r="BK16" s="43">
        <v>2</v>
      </c>
      <c r="BL16" s="43">
        <v>0</v>
      </c>
      <c r="BM16" s="43">
        <v>4</v>
      </c>
      <c r="BN16" s="43">
        <v>1</v>
      </c>
      <c r="BO16" s="43">
        <v>1</v>
      </c>
      <c r="BP16" s="43">
        <v>2</v>
      </c>
      <c r="BQ16" s="43">
        <v>0</v>
      </c>
      <c r="BR16" s="43">
        <v>1</v>
      </c>
      <c r="BS16" s="43">
        <v>4</v>
      </c>
      <c r="BT16" s="43">
        <v>1</v>
      </c>
      <c r="BU16" s="43">
        <v>1</v>
      </c>
      <c r="BV16" s="43">
        <v>3</v>
      </c>
      <c r="BW16" s="43">
        <v>1</v>
      </c>
      <c r="BX16" s="43">
        <v>1</v>
      </c>
      <c r="BY16" s="43">
        <v>3</v>
      </c>
      <c r="BZ16" s="43">
        <v>2</v>
      </c>
      <c r="CA16" s="43">
        <v>1</v>
      </c>
      <c r="CB16" s="43">
        <v>1</v>
      </c>
      <c r="CC16" s="43">
        <v>1</v>
      </c>
      <c r="CD16" s="43">
        <v>1</v>
      </c>
      <c r="CE16" s="43">
        <v>3</v>
      </c>
      <c r="CF16" s="43">
        <v>0</v>
      </c>
      <c r="CG16" s="43">
        <v>0</v>
      </c>
      <c r="CH16" s="43">
        <v>2</v>
      </c>
      <c r="CI16" s="43">
        <v>2</v>
      </c>
      <c r="CJ16" s="43">
        <v>1</v>
      </c>
      <c r="CK16" s="43">
        <v>2</v>
      </c>
      <c r="CL16" s="43">
        <v>0</v>
      </c>
      <c r="CM16" s="43">
        <v>0</v>
      </c>
      <c r="CN16" s="43">
        <v>3</v>
      </c>
      <c r="CO16" s="43">
        <v>3</v>
      </c>
      <c r="CP16" s="43">
        <v>1</v>
      </c>
      <c r="CQ16" s="43">
        <v>2</v>
      </c>
      <c r="CR16" s="43">
        <v>1</v>
      </c>
      <c r="CS16" s="43">
        <v>2</v>
      </c>
      <c r="CT16" s="43">
        <v>4</v>
      </c>
      <c r="CU16" s="43">
        <v>1</v>
      </c>
      <c r="CV16" s="43">
        <v>0</v>
      </c>
      <c r="CW16" s="43">
        <v>3</v>
      </c>
      <c r="CX16" s="43">
        <v>0</v>
      </c>
      <c r="CY16" s="43">
        <v>1</v>
      </c>
      <c r="CZ16" s="43">
        <v>3</v>
      </c>
      <c r="DA16" s="43">
        <v>1</v>
      </c>
      <c r="DB16" s="43">
        <v>0</v>
      </c>
      <c r="DC16" s="43">
        <v>3</v>
      </c>
      <c r="DD16" s="43">
        <v>2</v>
      </c>
      <c r="DE16" s="43">
        <v>1</v>
      </c>
      <c r="DF16" s="43">
        <v>2</v>
      </c>
      <c r="DG16" s="43">
        <v>1</v>
      </c>
      <c r="DH16" s="43">
        <v>1</v>
      </c>
      <c r="DI16" s="43">
        <v>0</v>
      </c>
      <c r="DJ16" s="43">
        <v>1</v>
      </c>
      <c r="DK16" s="43">
        <v>0</v>
      </c>
      <c r="DL16" s="43">
        <v>2</v>
      </c>
      <c r="DM16" s="43">
        <v>1</v>
      </c>
      <c r="DN16" s="43">
        <v>2</v>
      </c>
      <c r="DO16" s="43">
        <v>3</v>
      </c>
      <c r="DP16" s="43">
        <v>1</v>
      </c>
      <c r="DQ16" s="43">
        <v>1</v>
      </c>
      <c r="DR16" s="43">
        <v>2</v>
      </c>
      <c r="DS16" s="43">
        <v>3</v>
      </c>
      <c r="DT16" s="43">
        <v>2</v>
      </c>
      <c r="DU16" s="43">
        <v>4</v>
      </c>
      <c r="DV16" s="43">
        <v>0</v>
      </c>
      <c r="DW16" s="43">
        <v>1</v>
      </c>
      <c r="DX16" s="43">
        <v>3</v>
      </c>
      <c r="DY16" s="43">
        <v>1</v>
      </c>
      <c r="DZ16" s="43">
        <v>0</v>
      </c>
      <c r="EA16" s="43">
        <v>2</v>
      </c>
      <c r="EB16" s="43">
        <v>3</v>
      </c>
      <c r="EC16" s="43">
        <v>0</v>
      </c>
      <c r="ED16" s="43">
        <v>2</v>
      </c>
      <c r="EE16" s="43">
        <v>2</v>
      </c>
      <c r="EF16" s="43">
        <v>0</v>
      </c>
      <c r="EG16" s="43">
        <v>4</v>
      </c>
      <c r="EH16" s="43">
        <v>0</v>
      </c>
      <c r="EI16" s="43">
        <v>0</v>
      </c>
      <c r="EJ16" s="43">
        <v>2</v>
      </c>
      <c r="EK16" s="43">
        <v>0</v>
      </c>
      <c r="EL16" s="43">
        <v>0</v>
      </c>
      <c r="EM16" s="43">
        <v>3</v>
      </c>
      <c r="EN16" s="43">
        <v>1</v>
      </c>
      <c r="EO16" s="43">
        <v>2</v>
      </c>
      <c r="EP16" s="43">
        <v>2</v>
      </c>
      <c r="EQ16" s="43">
        <v>2</v>
      </c>
      <c r="ER16" s="43">
        <v>0</v>
      </c>
      <c r="ES16" s="43">
        <v>4</v>
      </c>
      <c r="ET16" s="43">
        <v>0</v>
      </c>
      <c r="EU16" s="43">
        <v>1</v>
      </c>
      <c r="EV16" s="43">
        <v>3</v>
      </c>
      <c r="EW16" s="43">
        <v>1</v>
      </c>
      <c r="EX16" s="43">
        <v>0</v>
      </c>
      <c r="EY16" s="43">
        <v>3</v>
      </c>
      <c r="EZ16" s="43">
        <v>0</v>
      </c>
      <c r="FA16" s="43">
        <v>0</v>
      </c>
      <c r="FB16" s="43">
        <v>3</v>
      </c>
      <c r="FC16" s="43">
        <v>0</v>
      </c>
      <c r="FD16" s="43">
        <v>1</v>
      </c>
      <c r="FE16" s="43">
        <v>1</v>
      </c>
      <c r="FF16" s="43">
        <v>0</v>
      </c>
      <c r="FG16" s="43">
        <v>0</v>
      </c>
      <c r="FH16" s="43">
        <v>1</v>
      </c>
      <c r="FI16" s="43">
        <v>2</v>
      </c>
      <c r="FJ16" s="43">
        <v>0</v>
      </c>
      <c r="FK16" s="43">
        <v>4</v>
      </c>
      <c r="FL16" s="43">
        <v>0</v>
      </c>
      <c r="FM16" s="43">
        <v>0</v>
      </c>
      <c r="FN16" s="43">
        <v>2</v>
      </c>
      <c r="FO16" s="43">
        <v>1</v>
      </c>
      <c r="FP16" s="43">
        <v>1</v>
      </c>
      <c r="FQ16" s="43">
        <v>2</v>
      </c>
      <c r="FR16" s="43">
        <v>0</v>
      </c>
      <c r="FS16" s="43">
        <v>0</v>
      </c>
      <c r="FT16" s="43">
        <v>4</v>
      </c>
      <c r="FU16" s="43">
        <v>1</v>
      </c>
      <c r="FV16" s="43">
        <v>2</v>
      </c>
      <c r="FW16" s="43">
        <v>4</v>
      </c>
      <c r="FX16" s="43">
        <v>2</v>
      </c>
      <c r="FY16" s="43">
        <v>0</v>
      </c>
      <c r="FZ16" s="43">
        <v>0</v>
      </c>
      <c r="GA16" s="43">
        <v>0</v>
      </c>
      <c r="GB16" s="43">
        <v>0</v>
      </c>
      <c r="GC16" s="43">
        <v>4</v>
      </c>
      <c r="GD16" s="43">
        <v>0</v>
      </c>
      <c r="GE16" s="43">
        <v>1</v>
      </c>
      <c r="GF16" s="43">
        <v>1</v>
      </c>
      <c r="GG16" s="43">
        <v>1</v>
      </c>
      <c r="GH16" s="43">
        <v>0</v>
      </c>
      <c r="GI16" s="43">
        <v>1</v>
      </c>
      <c r="GJ16" s="43">
        <v>0</v>
      </c>
      <c r="GK16" s="43">
        <v>1</v>
      </c>
      <c r="GL16" s="43">
        <v>2</v>
      </c>
      <c r="GM16" s="43">
        <v>0</v>
      </c>
      <c r="GN16" s="43">
        <v>1</v>
      </c>
      <c r="GO16" s="43">
        <v>3</v>
      </c>
      <c r="GP16" s="43">
        <v>2</v>
      </c>
      <c r="GQ16" s="43">
        <v>1</v>
      </c>
      <c r="GR16" s="43">
        <v>2</v>
      </c>
      <c r="GS16" s="43">
        <v>1</v>
      </c>
      <c r="GT16" s="43">
        <v>0</v>
      </c>
      <c r="GU16" s="43">
        <v>3</v>
      </c>
      <c r="GV16" s="43">
        <v>2</v>
      </c>
      <c r="GW16" s="43">
        <v>1</v>
      </c>
      <c r="GX16" s="43">
        <v>1</v>
      </c>
      <c r="GY16" s="43">
        <v>1</v>
      </c>
      <c r="GZ16" s="43">
        <v>1</v>
      </c>
      <c r="HA16" s="43">
        <v>2</v>
      </c>
      <c r="HB16" s="43">
        <v>1</v>
      </c>
      <c r="HC16" s="43">
        <v>0</v>
      </c>
      <c r="HD16" s="43">
        <v>2</v>
      </c>
      <c r="HE16" s="43">
        <v>0</v>
      </c>
      <c r="HF16" s="43">
        <v>2</v>
      </c>
      <c r="HG16" s="43">
        <v>4</v>
      </c>
      <c r="HH16" s="43">
        <v>3</v>
      </c>
      <c r="HI16" s="43">
        <v>3</v>
      </c>
      <c r="HJ16" s="43">
        <v>2</v>
      </c>
      <c r="HK16" s="43">
        <v>1</v>
      </c>
      <c r="HL16" s="43">
        <v>0</v>
      </c>
      <c r="HM16" s="43">
        <v>3</v>
      </c>
      <c r="HN16" s="43">
        <v>0</v>
      </c>
      <c r="HO16" s="43">
        <v>0</v>
      </c>
      <c r="HP16" s="43">
        <v>2</v>
      </c>
      <c r="HQ16" s="43">
        <v>3</v>
      </c>
      <c r="HR16" s="43">
        <v>0</v>
      </c>
      <c r="HS16" s="43">
        <v>1</v>
      </c>
      <c r="HT16" s="43">
        <v>0</v>
      </c>
      <c r="HU16" s="43">
        <v>0</v>
      </c>
      <c r="HV16" s="43">
        <v>0</v>
      </c>
      <c r="HW16" s="43">
        <v>2</v>
      </c>
      <c r="HX16" s="43">
        <v>0</v>
      </c>
      <c r="HY16" s="43">
        <v>2</v>
      </c>
      <c r="HZ16" s="43">
        <v>2</v>
      </c>
      <c r="IA16" s="43">
        <v>1</v>
      </c>
      <c r="IB16" s="43">
        <v>1</v>
      </c>
      <c r="IC16" s="43">
        <v>0</v>
      </c>
      <c r="ID16" s="43">
        <v>0</v>
      </c>
      <c r="IE16" s="43">
        <v>1</v>
      </c>
      <c r="IF16" s="43">
        <v>0</v>
      </c>
      <c r="IG16" s="43">
        <v>1</v>
      </c>
      <c r="IH16" s="43">
        <v>1</v>
      </c>
      <c r="II16" s="43">
        <v>0</v>
      </c>
      <c r="IJ16" s="43">
        <v>1</v>
      </c>
      <c r="IK16" s="43">
        <v>3</v>
      </c>
      <c r="IL16" s="43">
        <v>2</v>
      </c>
      <c r="IM16" s="43">
        <v>1</v>
      </c>
      <c r="IN16" s="43">
        <v>3</v>
      </c>
      <c r="IO16" s="43">
        <v>1</v>
      </c>
      <c r="IP16" s="43">
        <v>0</v>
      </c>
      <c r="IQ16" s="43">
        <v>3</v>
      </c>
      <c r="IR16" s="43">
        <v>1</v>
      </c>
      <c r="IS16" s="43">
        <v>1</v>
      </c>
      <c r="IT16" s="43">
        <v>2</v>
      </c>
      <c r="IU16" s="43">
        <v>1</v>
      </c>
      <c r="IV16" s="43">
        <v>0</v>
      </c>
      <c r="IW16" s="43">
        <v>2</v>
      </c>
      <c r="IX16" s="43">
        <v>1</v>
      </c>
      <c r="IY16" s="43">
        <v>1</v>
      </c>
      <c r="IZ16" s="43">
        <v>3</v>
      </c>
      <c r="JA16" s="43">
        <v>0</v>
      </c>
      <c r="JB16" s="43">
        <v>2</v>
      </c>
      <c r="JC16" s="43">
        <v>3</v>
      </c>
      <c r="JD16" s="43">
        <v>0</v>
      </c>
      <c r="JE16" s="43">
        <v>1</v>
      </c>
      <c r="JF16" s="43">
        <v>4</v>
      </c>
      <c r="JG16" s="43">
        <v>2</v>
      </c>
      <c r="JH16" s="43">
        <v>0</v>
      </c>
      <c r="JI16" s="43">
        <v>1</v>
      </c>
      <c r="JJ16" s="43">
        <v>0</v>
      </c>
      <c r="JK16" s="43">
        <v>0</v>
      </c>
      <c r="JL16" s="43">
        <v>2</v>
      </c>
      <c r="JM16" s="43">
        <v>2</v>
      </c>
      <c r="JN16" s="43">
        <v>0</v>
      </c>
      <c r="JO16" s="43">
        <v>4</v>
      </c>
      <c r="JP16" s="43">
        <v>1</v>
      </c>
      <c r="JQ16" s="43">
        <v>0</v>
      </c>
      <c r="JR16" s="43">
        <v>2</v>
      </c>
      <c r="JS16" s="43">
        <v>0</v>
      </c>
      <c r="JT16" s="43">
        <v>0</v>
      </c>
      <c r="JU16" s="43">
        <v>3</v>
      </c>
      <c r="JV16" s="43">
        <v>0</v>
      </c>
      <c r="JW16" s="43">
        <v>0</v>
      </c>
      <c r="JX16" s="43">
        <v>4</v>
      </c>
      <c r="JY16" s="43">
        <v>1</v>
      </c>
      <c r="JZ16" s="43">
        <v>1</v>
      </c>
      <c r="KA16" s="43">
        <v>2</v>
      </c>
      <c r="KB16" s="43">
        <v>1</v>
      </c>
      <c r="KC16" s="43">
        <v>0</v>
      </c>
      <c r="KD16" s="43">
        <v>2</v>
      </c>
      <c r="KE16" s="43">
        <v>0</v>
      </c>
      <c r="KF16" s="43">
        <v>1</v>
      </c>
      <c r="KG16" s="43">
        <v>4</v>
      </c>
      <c r="KH16" s="43">
        <v>1</v>
      </c>
      <c r="KI16" s="43">
        <v>0</v>
      </c>
      <c r="KJ16" s="43">
        <v>3</v>
      </c>
      <c r="KK16" s="43">
        <v>2</v>
      </c>
      <c r="KL16" s="43">
        <v>2</v>
      </c>
      <c r="KM16" s="43">
        <v>3</v>
      </c>
      <c r="KN16" s="43">
        <v>2</v>
      </c>
      <c r="KO16" s="43">
        <v>0</v>
      </c>
    </row>
    <row r="17" spans="1:301" x14ac:dyDescent="0.4">
      <c r="A17" s="43">
        <v>13</v>
      </c>
      <c r="B17" s="43">
        <v>4</v>
      </c>
      <c r="C17" s="43">
        <v>1</v>
      </c>
      <c r="D17" s="43">
        <v>0</v>
      </c>
      <c r="E17" s="43">
        <v>1</v>
      </c>
      <c r="F17" s="43">
        <v>1</v>
      </c>
      <c r="G17" s="43">
        <v>1</v>
      </c>
      <c r="H17" s="43">
        <v>3</v>
      </c>
      <c r="I17" s="43">
        <v>0</v>
      </c>
      <c r="J17" s="43">
        <v>1</v>
      </c>
      <c r="K17" s="43">
        <v>0</v>
      </c>
      <c r="L17" s="43">
        <v>2</v>
      </c>
      <c r="M17" s="43">
        <v>0</v>
      </c>
      <c r="N17" s="43">
        <v>3</v>
      </c>
      <c r="O17" s="43">
        <v>0</v>
      </c>
      <c r="P17" s="43">
        <v>1</v>
      </c>
      <c r="Q17" s="43">
        <v>2</v>
      </c>
      <c r="R17" s="43">
        <v>2</v>
      </c>
      <c r="S17" s="43">
        <v>1</v>
      </c>
      <c r="T17" s="43">
        <v>3</v>
      </c>
      <c r="U17" s="43">
        <v>1</v>
      </c>
      <c r="V17" s="43">
        <v>1</v>
      </c>
      <c r="W17" s="43">
        <v>3</v>
      </c>
      <c r="X17" s="43">
        <v>0</v>
      </c>
      <c r="Y17" s="43">
        <v>1</v>
      </c>
      <c r="Z17" s="43">
        <v>3</v>
      </c>
      <c r="AA17" s="43">
        <v>1</v>
      </c>
      <c r="AB17" s="43">
        <v>0</v>
      </c>
      <c r="AC17" s="43">
        <v>3</v>
      </c>
      <c r="AD17" s="43">
        <v>1</v>
      </c>
      <c r="AE17" s="43">
        <v>0</v>
      </c>
      <c r="AF17" s="43">
        <v>4</v>
      </c>
      <c r="AG17" s="43">
        <v>0</v>
      </c>
      <c r="AH17" s="43">
        <v>0</v>
      </c>
      <c r="AI17" s="43">
        <v>2</v>
      </c>
      <c r="AJ17" s="43">
        <v>2</v>
      </c>
      <c r="AK17" s="43">
        <v>1</v>
      </c>
      <c r="AL17" s="43">
        <v>1</v>
      </c>
      <c r="AM17" s="43">
        <v>2</v>
      </c>
      <c r="AN17" s="43">
        <v>1</v>
      </c>
      <c r="AO17" s="43">
        <v>0</v>
      </c>
      <c r="AP17" s="43">
        <v>2</v>
      </c>
      <c r="AQ17" s="43">
        <v>0</v>
      </c>
      <c r="AR17" s="43">
        <v>2</v>
      </c>
      <c r="AS17" s="43">
        <v>0</v>
      </c>
      <c r="AT17" s="43">
        <v>0</v>
      </c>
      <c r="AU17" s="43">
        <v>4</v>
      </c>
      <c r="AV17" s="43">
        <v>1</v>
      </c>
      <c r="AW17" s="43">
        <v>1</v>
      </c>
      <c r="AX17" s="43">
        <v>1</v>
      </c>
      <c r="AY17" s="43">
        <v>2</v>
      </c>
      <c r="AZ17" s="43">
        <v>0</v>
      </c>
      <c r="BA17" s="43">
        <v>2</v>
      </c>
      <c r="BB17" s="43">
        <v>1</v>
      </c>
      <c r="BC17" s="43">
        <v>0</v>
      </c>
      <c r="BD17" s="43">
        <v>2</v>
      </c>
      <c r="BE17" s="43">
        <v>1</v>
      </c>
      <c r="BF17" s="43">
        <v>0</v>
      </c>
      <c r="BG17" s="43">
        <v>2</v>
      </c>
      <c r="BH17" s="43">
        <v>2</v>
      </c>
      <c r="BI17" s="43">
        <v>1</v>
      </c>
      <c r="BJ17" s="43">
        <v>3</v>
      </c>
      <c r="BK17" s="43">
        <v>0</v>
      </c>
      <c r="BL17" s="43">
        <v>0</v>
      </c>
      <c r="BM17" s="43">
        <v>3</v>
      </c>
      <c r="BN17" s="43">
        <v>2</v>
      </c>
      <c r="BO17" s="43">
        <v>1</v>
      </c>
      <c r="BP17" s="43">
        <v>2</v>
      </c>
      <c r="BQ17" s="43">
        <v>3</v>
      </c>
      <c r="BR17" s="43">
        <v>0</v>
      </c>
      <c r="BS17" s="43">
        <v>2</v>
      </c>
      <c r="BT17" s="43">
        <v>2</v>
      </c>
      <c r="BU17" s="43">
        <v>0</v>
      </c>
      <c r="BV17" s="43">
        <v>3</v>
      </c>
      <c r="BW17" s="43">
        <v>2</v>
      </c>
      <c r="BX17" s="43">
        <v>1</v>
      </c>
      <c r="BY17" s="43">
        <v>2</v>
      </c>
      <c r="BZ17" s="43">
        <v>2</v>
      </c>
      <c r="CA17" s="43">
        <v>0</v>
      </c>
      <c r="CB17" s="43">
        <v>3</v>
      </c>
      <c r="CC17" s="43">
        <v>0</v>
      </c>
      <c r="CD17" s="43">
        <v>0</v>
      </c>
      <c r="CE17" s="43">
        <v>3</v>
      </c>
      <c r="CF17" s="43">
        <v>1</v>
      </c>
      <c r="CG17" s="43">
        <v>0</v>
      </c>
      <c r="CH17" s="43">
        <v>1</v>
      </c>
      <c r="CI17" s="43">
        <v>0</v>
      </c>
      <c r="CJ17" s="43">
        <v>0</v>
      </c>
      <c r="CK17" s="43">
        <v>3</v>
      </c>
      <c r="CL17" s="43">
        <v>3</v>
      </c>
      <c r="CM17" s="43">
        <v>2</v>
      </c>
      <c r="CN17" s="43">
        <v>2</v>
      </c>
      <c r="CO17" s="43">
        <v>0</v>
      </c>
      <c r="CP17" s="43">
        <v>2</v>
      </c>
      <c r="CQ17" s="43">
        <v>3</v>
      </c>
      <c r="CR17" s="43">
        <v>2</v>
      </c>
      <c r="CS17" s="43">
        <v>1</v>
      </c>
      <c r="CT17" s="43">
        <v>4</v>
      </c>
      <c r="CU17" s="43">
        <v>1</v>
      </c>
      <c r="CV17" s="43">
        <v>0</v>
      </c>
      <c r="CW17" s="43">
        <v>2</v>
      </c>
      <c r="CX17" s="43">
        <v>1</v>
      </c>
      <c r="CY17" s="43">
        <v>1</v>
      </c>
      <c r="CZ17" s="43">
        <v>2</v>
      </c>
      <c r="DA17" s="43">
        <v>0</v>
      </c>
      <c r="DB17" s="43">
        <v>0</v>
      </c>
      <c r="DC17" s="43">
        <v>3</v>
      </c>
      <c r="DD17" s="43">
        <v>1</v>
      </c>
      <c r="DE17" s="43">
        <v>1</v>
      </c>
      <c r="DF17" s="43">
        <v>0</v>
      </c>
      <c r="DG17" s="43">
        <v>0</v>
      </c>
      <c r="DH17" s="43">
        <v>0</v>
      </c>
      <c r="DI17" s="43">
        <v>2</v>
      </c>
      <c r="DJ17" s="43">
        <v>1</v>
      </c>
      <c r="DK17" s="43">
        <v>2</v>
      </c>
      <c r="DL17" s="43">
        <v>3</v>
      </c>
      <c r="DM17" s="43">
        <v>1</v>
      </c>
      <c r="DN17" s="43">
        <v>1</v>
      </c>
      <c r="DO17" s="43">
        <v>3</v>
      </c>
      <c r="DP17" s="43">
        <v>2</v>
      </c>
      <c r="DQ17" s="43">
        <v>0</v>
      </c>
      <c r="DR17" s="43">
        <v>3</v>
      </c>
      <c r="DS17" s="43">
        <v>0</v>
      </c>
      <c r="DT17" s="43">
        <v>1</v>
      </c>
      <c r="DU17" s="43">
        <v>3</v>
      </c>
      <c r="DV17" s="43">
        <v>0</v>
      </c>
      <c r="DW17" s="43">
        <v>1</v>
      </c>
      <c r="DX17" s="43">
        <v>4</v>
      </c>
      <c r="DY17" s="43">
        <v>1</v>
      </c>
      <c r="DZ17" s="43">
        <v>1</v>
      </c>
      <c r="EA17" s="43">
        <v>3</v>
      </c>
      <c r="EB17" s="43">
        <v>2</v>
      </c>
      <c r="EC17" s="43">
        <v>0</v>
      </c>
      <c r="ED17" s="43">
        <v>1</v>
      </c>
      <c r="EE17" s="43">
        <v>1</v>
      </c>
      <c r="EF17" s="43">
        <v>0</v>
      </c>
      <c r="EG17" s="43">
        <v>2</v>
      </c>
      <c r="EH17" s="43">
        <v>2</v>
      </c>
      <c r="EI17" s="43">
        <v>0</v>
      </c>
      <c r="EJ17" s="43">
        <v>3</v>
      </c>
      <c r="EK17" s="43">
        <v>1</v>
      </c>
      <c r="EL17" s="43">
        <v>0</v>
      </c>
      <c r="EM17" s="43">
        <v>2</v>
      </c>
      <c r="EN17" s="43">
        <v>2</v>
      </c>
      <c r="EO17" s="43">
        <v>2</v>
      </c>
      <c r="EP17" s="43">
        <v>1</v>
      </c>
      <c r="EQ17" s="43">
        <v>0</v>
      </c>
      <c r="ER17" s="43">
        <v>1</v>
      </c>
      <c r="ES17" s="43">
        <v>2</v>
      </c>
      <c r="ET17" s="43">
        <v>2</v>
      </c>
      <c r="EU17" s="43">
        <v>0</v>
      </c>
      <c r="EV17" s="43">
        <v>4</v>
      </c>
      <c r="EW17" s="43">
        <v>3</v>
      </c>
      <c r="EX17" s="43">
        <v>0</v>
      </c>
      <c r="EY17" s="43">
        <v>2</v>
      </c>
      <c r="EZ17" s="43">
        <v>1</v>
      </c>
      <c r="FA17" s="43">
        <v>1</v>
      </c>
      <c r="FB17" s="43">
        <v>3</v>
      </c>
      <c r="FC17" s="43">
        <v>1</v>
      </c>
      <c r="FD17" s="43">
        <v>0</v>
      </c>
      <c r="FE17" s="43">
        <v>2</v>
      </c>
      <c r="FF17" s="43">
        <v>2</v>
      </c>
      <c r="FG17" s="43">
        <v>1</v>
      </c>
      <c r="FH17" s="43">
        <v>1</v>
      </c>
      <c r="FI17" s="43">
        <v>1</v>
      </c>
      <c r="FJ17" s="43">
        <v>0</v>
      </c>
      <c r="FK17" s="43">
        <v>3</v>
      </c>
      <c r="FL17" s="43">
        <v>2</v>
      </c>
      <c r="FM17" s="43">
        <v>0</v>
      </c>
      <c r="FN17" s="43">
        <v>4</v>
      </c>
      <c r="FO17" s="43">
        <v>1</v>
      </c>
      <c r="FP17" s="43">
        <v>1</v>
      </c>
      <c r="FQ17" s="43">
        <v>3</v>
      </c>
      <c r="FR17" s="43">
        <v>0</v>
      </c>
      <c r="FS17" s="43">
        <v>0</v>
      </c>
      <c r="FT17" s="43">
        <v>3</v>
      </c>
      <c r="FU17" s="43">
        <v>0</v>
      </c>
      <c r="FV17" s="43">
        <v>2</v>
      </c>
      <c r="FW17" s="43">
        <v>2</v>
      </c>
      <c r="FX17" s="43">
        <v>0</v>
      </c>
      <c r="FY17" s="43">
        <v>3</v>
      </c>
      <c r="FZ17" s="43">
        <v>3</v>
      </c>
      <c r="GA17" s="43">
        <v>2</v>
      </c>
      <c r="GB17" s="43">
        <v>1</v>
      </c>
      <c r="GC17" s="43">
        <v>1</v>
      </c>
      <c r="GD17" s="43">
        <v>1</v>
      </c>
      <c r="GE17" s="43">
        <v>0</v>
      </c>
      <c r="GF17" s="43">
        <v>3</v>
      </c>
      <c r="GG17" s="43">
        <v>0</v>
      </c>
      <c r="GH17" s="43">
        <v>0</v>
      </c>
      <c r="GI17" s="43">
        <v>2</v>
      </c>
      <c r="GJ17" s="43">
        <v>0</v>
      </c>
      <c r="GK17" s="43">
        <v>0</v>
      </c>
      <c r="GL17" s="43">
        <v>2</v>
      </c>
      <c r="GM17" s="43">
        <v>1</v>
      </c>
      <c r="GN17" s="43">
        <v>1</v>
      </c>
      <c r="GO17" s="43">
        <v>3</v>
      </c>
      <c r="GP17" s="43">
        <v>1</v>
      </c>
      <c r="GQ17" s="43">
        <v>0</v>
      </c>
      <c r="GR17" s="43">
        <v>4</v>
      </c>
      <c r="GS17" s="43">
        <v>0</v>
      </c>
      <c r="GT17" s="43">
        <v>1</v>
      </c>
      <c r="GU17" s="43">
        <v>2</v>
      </c>
      <c r="GV17" s="43">
        <v>0</v>
      </c>
      <c r="GW17" s="43">
        <v>1</v>
      </c>
      <c r="GX17" s="43">
        <v>4</v>
      </c>
      <c r="GY17" s="43">
        <v>1</v>
      </c>
      <c r="GZ17" s="43">
        <v>0</v>
      </c>
      <c r="HA17" s="43">
        <v>3</v>
      </c>
      <c r="HB17" s="43">
        <v>1</v>
      </c>
      <c r="HC17" s="43">
        <v>0</v>
      </c>
      <c r="HD17" s="43">
        <v>3</v>
      </c>
      <c r="HE17" s="43">
        <v>2</v>
      </c>
      <c r="HF17" s="43">
        <v>1</v>
      </c>
      <c r="HG17" s="43">
        <v>2</v>
      </c>
      <c r="HH17" s="43">
        <v>1</v>
      </c>
      <c r="HI17" s="43">
        <v>2</v>
      </c>
      <c r="HJ17" s="43">
        <v>2</v>
      </c>
      <c r="HK17" s="43">
        <v>0</v>
      </c>
      <c r="HL17" s="43">
        <v>0</v>
      </c>
      <c r="HM17" s="43">
        <v>1</v>
      </c>
      <c r="HN17" s="43">
        <v>0</v>
      </c>
      <c r="HO17" s="43">
        <v>0</v>
      </c>
      <c r="HP17" s="43">
        <v>2</v>
      </c>
      <c r="HQ17" s="43">
        <v>2</v>
      </c>
      <c r="HR17" s="43">
        <v>2</v>
      </c>
      <c r="HS17" s="43">
        <v>3</v>
      </c>
      <c r="HT17" s="43">
        <v>1</v>
      </c>
      <c r="HU17" s="43">
        <v>1</v>
      </c>
      <c r="HV17" s="43">
        <v>2</v>
      </c>
      <c r="HW17" s="43">
        <v>0</v>
      </c>
      <c r="HX17" s="43">
        <v>2</v>
      </c>
      <c r="HY17" s="43">
        <v>2</v>
      </c>
      <c r="HZ17" s="43">
        <v>1</v>
      </c>
      <c r="IA17" s="43">
        <v>1</v>
      </c>
      <c r="IB17" s="43">
        <v>3</v>
      </c>
      <c r="IC17" s="43">
        <v>1</v>
      </c>
      <c r="ID17" s="43">
        <v>1</v>
      </c>
      <c r="IE17" s="43">
        <v>4</v>
      </c>
      <c r="IF17" s="43">
        <v>0</v>
      </c>
      <c r="IG17" s="43">
        <v>2</v>
      </c>
      <c r="IH17" s="43">
        <v>2</v>
      </c>
      <c r="II17" s="43">
        <v>1</v>
      </c>
      <c r="IJ17" s="43">
        <v>0</v>
      </c>
      <c r="IK17" s="43">
        <v>3</v>
      </c>
      <c r="IL17" s="43">
        <v>1</v>
      </c>
      <c r="IM17" s="43">
        <v>0</v>
      </c>
      <c r="IN17" s="43">
        <v>2</v>
      </c>
      <c r="IO17" s="43">
        <v>1</v>
      </c>
      <c r="IP17" s="43">
        <v>0</v>
      </c>
      <c r="IQ17" s="43">
        <v>3</v>
      </c>
      <c r="IR17" s="43">
        <v>1</v>
      </c>
      <c r="IS17" s="43">
        <v>1</v>
      </c>
      <c r="IT17" s="43">
        <v>1</v>
      </c>
      <c r="IU17" s="43">
        <v>0</v>
      </c>
      <c r="IV17" s="43">
        <v>0</v>
      </c>
      <c r="IW17" s="43">
        <v>2</v>
      </c>
      <c r="IX17" s="43">
        <v>2</v>
      </c>
      <c r="IY17" s="43">
        <v>1</v>
      </c>
      <c r="IZ17" s="43">
        <v>4</v>
      </c>
      <c r="JA17" s="43">
        <v>0</v>
      </c>
      <c r="JB17" s="43">
        <v>1</v>
      </c>
      <c r="JC17" s="43">
        <v>2</v>
      </c>
      <c r="JD17" s="43">
        <v>0</v>
      </c>
      <c r="JE17" s="43">
        <v>1</v>
      </c>
      <c r="JF17" s="43">
        <v>3</v>
      </c>
      <c r="JG17" s="43">
        <v>0</v>
      </c>
      <c r="JH17" s="43">
        <v>0</v>
      </c>
      <c r="JI17" s="43">
        <v>4</v>
      </c>
      <c r="JJ17" s="43">
        <v>2</v>
      </c>
      <c r="JK17" s="43">
        <v>0</v>
      </c>
      <c r="JL17" s="43">
        <v>2</v>
      </c>
      <c r="JM17" s="43">
        <v>1</v>
      </c>
      <c r="JN17" s="43">
        <v>0</v>
      </c>
      <c r="JO17" s="43">
        <v>3</v>
      </c>
      <c r="JP17" s="43">
        <v>0</v>
      </c>
      <c r="JQ17" s="43">
        <v>1</v>
      </c>
      <c r="JR17" s="43">
        <v>1</v>
      </c>
      <c r="JS17" s="43">
        <v>1</v>
      </c>
      <c r="JT17" s="43">
        <v>1</v>
      </c>
      <c r="JU17" s="43">
        <v>2</v>
      </c>
      <c r="JV17" s="43">
        <v>3</v>
      </c>
      <c r="JW17" s="43">
        <v>0</v>
      </c>
      <c r="JX17" s="43">
        <v>2</v>
      </c>
      <c r="JY17" s="43">
        <v>1</v>
      </c>
      <c r="JZ17" s="43">
        <v>1</v>
      </c>
      <c r="KA17" s="43">
        <v>3</v>
      </c>
      <c r="KB17" s="43">
        <v>0</v>
      </c>
      <c r="KC17" s="43">
        <v>1</v>
      </c>
      <c r="KD17" s="43">
        <v>2</v>
      </c>
      <c r="KE17" s="43">
        <v>2</v>
      </c>
      <c r="KF17" s="43">
        <v>0</v>
      </c>
      <c r="KG17" s="43">
        <v>1</v>
      </c>
      <c r="KH17" s="43">
        <v>2</v>
      </c>
      <c r="KI17" s="43">
        <v>0</v>
      </c>
      <c r="KJ17" s="43">
        <v>2</v>
      </c>
      <c r="KK17" s="43">
        <v>1</v>
      </c>
      <c r="KL17" s="43">
        <v>2</v>
      </c>
      <c r="KM17" s="43">
        <v>3</v>
      </c>
      <c r="KN17" s="43">
        <v>1</v>
      </c>
      <c r="KO17" s="43">
        <v>1</v>
      </c>
    </row>
    <row r="18" spans="1:301" x14ac:dyDescent="0.4">
      <c r="A18" s="43">
        <v>14</v>
      </c>
      <c r="B18" s="43">
        <v>4</v>
      </c>
      <c r="C18" s="43">
        <v>1</v>
      </c>
      <c r="D18" s="43">
        <v>1</v>
      </c>
      <c r="E18" s="43">
        <v>3</v>
      </c>
      <c r="F18" s="43">
        <v>0</v>
      </c>
      <c r="G18" s="43">
        <v>0</v>
      </c>
      <c r="H18" s="43">
        <v>2</v>
      </c>
      <c r="I18" s="43">
        <v>2</v>
      </c>
      <c r="J18" s="43">
        <v>1</v>
      </c>
      <c r="K18" s="43">
        <v>4</v>
      </c>
      <c r="L18" s="43">
        <v>2</v>
      </c>
      <c r="M18" s="43">
        <v>1</v>
      </c>
      <c r="N18" s="43">
        <v>1</v>
      </c>
      <c r="O18" s="43">
        <v>1</v>
      </c>
      <c r="P18" s="43">
        <v>1</v>
      </c>
      <c r="Q18" s="43">
        <v>3</v>
      </c>
      <c r="R18" s="43">
        <v>1</v>
      </c>
      <c r="S18" s="43">
        <v>2</v>
      </c>
      <c r="T18" s="43">
        <v>3</v>
      </c>
      <c r="U18" s="43">
        <v>1</v>
      </c>
      <c r="V18" s="43">
        <v>1</v>
      </c>
      <c r="W18" s="43">
        <v>2</v>
      </c>
      <c r="X18" s="43">
        <v>1</v>
      </c>
      <c r="Y18" s="43">
        <v>0</v>
      </c>
      <c r="Z18" s="43">
        <v>4</v>
      </c>
      <c r="AA18" s="43">
        <v>0</v>
      </c>
      <c r="AB18" s="43">
        <v>0</v>
      </c>
      <c r="AC18" s="43">
        <v>1</v>
      </c>
      <c r="AD18" s="43">
        <v>0</v>
      </c>
      <c r="AE18" s="43">
        <v>0</v>
      </c>
      <c r="AF18" s="43">
        <v>3</v>
      </c>
      <c r="AG18" s="43">
        <v>2</v>
      </c>
      <c r="AH18" s="43">
        <v>1</v>
      </c>
      <c r="AI18" s="43">
        <v>3</v>
      </c>
      <c r="AJ18" s="43">
        <v>2</v>
      </c>
      <c r="AK18" s="43">
        <v>1</v>
      </c>
      <c r="AL18" s="43">
        <v>3</v>
      </c>
      <c r="AM18" s="43">
        <v>0</v>
      </c>
      <c r="AN18" s="43">
        <v>1</v>
      </c>
      <c r="AO18" s="43">
        <v>2</v>
      </c>
      <c r="AP18" s="43">
        <v>2</v>
      </c>
      <c r="AQ18" s="43">
        <v>1</v>
      </c>
      <c r="AR18" s="43">
        <v>3</v>
      </c>
      <c r="AS18" s="43">
        <v>2</v>
      </c>
      <c r="AT18" s="43">
        <v>1</v>
      </c>
      <c r="AU18" s="43">
        <v>2</v>
      </c>
      <c r="AV18" s="43">
        <v>0</v>
      </c>
      <c r="AW18" s="43">
        <v>0</v>
      </c>
      <c r="AX18" s="43">
        <v>1</v>
      </c>
      <c r="AY18" s="43">
        <v>1</v>
      </c>
      <c r="AZ18" s="43">
        <v>0</v>
      </c>
      <c r="BA18" s="43">
        <v>2</v>
      </c>
      <c r="BB18" s="43">
        <v>0</v>
      </c>
      <c r="BC18" s="43">
        <v>0</v>
      </c>
      <c r="BD18" s="43">
        <v>4</v>
      </c>
      <c r="BE18" s="43">
        <v>0</v>
      </c>
      <c r="BF18" s="43">
        <v>1</v>
      </c>
      <c r="BG18" s="43">
        <v>0</v>
      </c>
      <c r="BH18" s="43">
        <v>1</v>
      </c>
      <c r="BI18" s="43">
        <v>1</v>
      </c>
      <c r="BJ18" s="43">
        <v>3</v>
      </c>
      <c r="BK18" s="43">
        <v>0</v>
      </c>
      <c r="BL18" s="43">
        <v>1</v>
      </c>
      <c r="BM18" s="43">
        <v>2</v>
      </c>
      <c r="BN18" s="43">
        <v>0</v>
      </c>
      <c r="BO18" s="43">
        <v>2</v>
      </c>
      <c r="BP18" s="43">
        <v>2</v>
      </c>
      <c r="BQ18" s="43">
        <v>0</v>
      </c>
      <c r="BR18" s="43">
        <v>0</v>
      </c>
      <c r="BS18" s="43">
        <v>3</v>
      </c>
      <c r="BT18" s="43">
        <v>1</v>
      </c>
      <c r="BU18" s="43">
        <v>0</v>
      </c>
      <c r="BV18" s="43">
        <v>2</v>
      </c>
      <c r="BW18" s="43">
        <v>2</v>
      </c>
      <c r="BX18" s="43">
        <v>1</v>
      </c>
      <c r="BY18" s="43">
        <v>1</v>
      </c>
      <c r="BZ18" s="43">
        <v>2</v>
      </c>
      <c r="CA18" s="43">
        <v>2</v>
      </c>
      <c r="CB18" s="43">
        <v>3</v>
      </c>
      <c r="CC18" s="43">
        <v>1</v>
      </c>
      <c r="CD18" s="43">
        <v>0</v>
      </c>
      <c r="CE18" s="43">
        <v>3</v>
      </c>
      <c r="CF18" s="43">
        <v>1</v>
      </c>
      <c r="CG18" s="43">
        <v>1</v>
      </c>
      <c r="CH18" s="43">
        <v>3</v>
      </c>
      <c r="CI18" s="43">
        <v>2</v>
      </c>
      <c r="CJ18" s="43">
        <v>0</v>
      </c>
      <c r="CK18" s="43">
        <v>2</v>
      </c>
      <c r="CL18" s="43">
        <v>2</v>
      </c>
      <c r="CM18" s="43">
        <v>2</v>
      </c>
      <c r="CN18" s="43">
        <v>3</v>
      </c>
      <c r="CO18" s="43">
        <v>2</v>
      </c>
      <c r="CP18" s="43">
        <v>2</v>
      </c>
      <c r="CQ18" s="43">
        <v>2</v>
      </c>
      <c r="CR18" s="43">
        <v>1</v>
      </c>
      <c r="CS18" s="43">
        <v>0</v>
      </c>
      <c r="CT18" s="43">
        <v>2</v>
      </c>
      <c r="CU18" s="43">
        <v>1</v>
      </c>
      <c r="CV18" s="43">
        <v>0</v>
      </c>
      <c r="CW18" s="43">
        <v>4</v>
      </c>
      <c r="CX18" s="43">
        <v>1</v>
      </c>
      <c r="CY18" s="43">
        <v>3</v>
      </c>
      <c r="CZ18" s="43">
        <v>1</v>
      </c>
      <c r="DA18" s="43">
        <v>0</v>
      </c>
      <c r="DB18" s="43">
        <v>1</v>
      </c>
      <c r="DC18" s="43">
        <v>2</v>
      </c>
      <c r="DD18" s="43">
        <v>0</v>
      </c>
      <c r="DE18" s="43">
        <v>1</v>
      </c>
      <c r="DF18" s="43">
        <v>3</v>
      </c>
      <c r="DG18" s="43">
        <v>0</v>
      </c>
      <c r="DH18" s="43">
        <v>0</v>
      </c>
      <c r="DI18" s="43">
        <v>4</v>
      </c>
      <c r="DJ18" s="43">
        <v>1</v>
      </c>
      <c r="DK18" s="43">
        <v>1</v>
      </c>
      <c r="DL18" s="43">
        <v>2</v>
      </c>
      <c r="DM18" s="43">
        <v>2</v>
      </c>
      <c r="DN18" s="43">
        <v>0</v>
      </c>
      <c r="DO18" s="43">
        <v>2</v>
      </c>
      <c r="DP18" s="43">
        <v>1</v>
      </c>
      <c r="DQ18" s="43">
        <v>1</v>
      </c>
      <c r="DR18" s="43">
        <v>2</v>
      </c>
      <c r="DS18" s="43">
        <v>0</v>
      </c>
      <c r="DT18" s="43">
        <v>1</v>
      </c>
      <c r="DU18" s="43">
        <v>4</v>
      </c>
      <c r="DV18" s="43">
        <v>1</v>
      </c>
      <c r="DW18" s="43">
        <v>1</v>
      </c>
      <c r="DX18" s="43">
        <v>1</v>
      </c>
      <c r="DY18" s="43">
        <v>1</v>
      </c>
      <c r="DZ18" s="43">
        <v>1</v>
      </c>
      <c r="EA18" s="43">
        <v>2</v>
      </c>
      <c r="EB18" s="43">
        <v>1</v>
      </c>
      <c r="EC18" s="43">
        <v>0</v>
      </c>
      <c r="ED18" s="43">
        <v>3</v>
      </c>
      <c r="EE18" s="43">
        <v>0</v>
      </c>
      <c r="EF18" s="43">
        <v>0</v>
      </c>
      <c r="EG18" s="43">
        <v>3</v>
      </c>
      <c r="EH18" s="43">
        <v>2</v>
      </c>
      <c r="EI18" s="43">
        <v>2</v>
      </c>
      <c r="EJ18" s="43">
        <v>1</v>
      </c>
      <c r="EK18" s="43">
        <v>1</v>
      </c>
      <c r="EL18" s="43">
        <v>1</v>
      </c>
      <c r="EM18" s="43">
        <v>3</v>
      </c>
      <c r="EN18" s="43">
        <v>1</v>
      </c>
      <c r="EO18" s="43">
        <v>2</v>
      </c>
      <c r="EP18" s="43">
        <v>4</v>
      </c>
      <c r="EQ18" s="43">
        <v>1</v>
      </c>
      <c r="ER18" s="43">
        <v>2</v>
      </c>
      <c r="ES18" s="43">
        <v>4</v>
      </c>
      <c r="ET18" s="43">
        <v>1</v>
      </c>
      <c r="EU18" s="43">
        <v>0</v>
      </c>
      <c r="EV18" s="43">
        <v>2</v>
      </c>
      <c r="EW18" s="43">
        <v>1</v>
      </c>
      <c r="EX18" s="43">
        <v>2</v>
      </c>
      <c r="EY18" s="43">
        <v>2</v>
      </c>
      <c r="EZ18" s="43">
        <v>0</v>
      </c>
      <c r="FA18" s="43">
        <v>0</v>
      </c>
      <c r="FB18" s="43">
        <v>4</v>
      </c>
      <c r="FC18" s="43">
        <v>2</v>
      </c>
      <c r="FD18" s="43">
        <v>0</v>
      </c>
      <c r="FE18" s="43">
        <v>2</v>
      </c>
      <c r="FF18" s="43">
        <v>2</v>
      </c>
      <c r="FG18" s="43">
        <v>0</v>
      </c>
      <c r="FH18" s="43">
        <v>1</v>
      </c>
      <c r="FI18" s="43">
        <v>2</v>
      </c>
      <c r="FJ18" s="43">
        <v>0</v>
      </c>
      <c r="FK18" s="43">
        <v>1</v>
      </c>
      <c r="FL18" s="43">
        <v>1</v>
      </c>
      <c r="FM18" s="43">
        <v>0</v>
      </c>
      <c r="FN18" s="43">
        <v>2</v>
      </c>
      <c r="FO18" s="43">
        <v>1</v>
      </c>
      <c r="FP18" s="43">
        <v>0</v>
      </c>
      <c r="FQ18" s="43">
        <v>3</v>
      </c>
      <c r="FR18" s="43">
        <v>2</v>
      </c>
      <c r="FS18" s="43">
        <v>0</v>
      </c>
      <c r="FT18" s="43">
        <v>3</v>
      </c>
      <c r="FU18" s="43">
        <v>0</v>
      </c>
      <c r="FV18" s="43">
        <v>0</v>
      </c>
      <c r="FW18" s="43">
        <v>2</v>
      </c>
      <c r="FX18" s="43">
        <v>0</v>
      </c>
      <c r="FY18" s="43">
        <v>1</v>
      </c>
      <c r="FZ18" s="43">
        <v>1</v>
      </c>
      <c r="GA18" s="43">
        <v>1</v>
      </c>
      <c r="GB18" s="43">
        <v>2</v>
      </c>
      <c r="GC18" s="43">
        <v>2</v>
      </c>
      <c r="GD18" s="43">
        <v>0</v>
      </c>
      <c r="GE18" s="43">
        <v>1</v>
      </c>
      <c r="GF18" s="43">
        <v>1</v>
      </c>
      <c r="GG18" s="43">
        <v>1</v>
      </c>
      <c r="GH18" s="43">
        <v>1</v>
      </c>
      <c r="GI18" s="43">
        <v>4</v>
      </c>
      <c r="GJ18" s="43">
        <v>1</v>
      </c>
      <c r="GK18" s="43">
        <v>1</v>
      </c>
      <c r="GL18" s="43">
        <v>4</v>
      </c>
      <c r="GM18" s="43">
        <v>1</v>
      </c>
      <c r="GN18" s="43">
        <v>3</v>
      </c>
      <c r="GO18" s="43">
        <v>1</v>
      </c>
      <c r="GP18" s="43">
        <v>2</v>
      </c>
      <c r="GQ18" s="43">
        <v>1</v>
      </c>
      <c r="GR18" s="43">
        <v>2</v>
      </c>
      <c r="GS18" s="43">
        <v>0</v>
      </c>
      <c r="GT18" s="43">
        <v>0</v>
      </c>
      <c r="GU18" s="43">
        <v>3</v>
      </c>
      <c r="GV18" s="43">
        <v>0</v>
      </c>
      <c r="GW18" s="43">
        <v>0</v>
      </c>
      <c r="GX18" s="43">
        <v>2</v>
      </c>
      <c r="GY18" s="43">
        <v>2</v>
      </c>
      <c r="GZ18" s="43">
        <v>0</v>
      </c>
      <c r="HA18" s="43">
        <v>4</v>
      </c>
      <c r="HB18" s="43">
        <v>1</v>
      </c>
      <c r="HC18" s="43">
        <v>0</v>
      </c>
      <c r="HD18" s="43">
        <v>2</v>
      </c>
      <c r="HE18" s="43">
        <v>0</v>
      </c>
      <c r="HF18" s="43">
        <v>0</v>
      </c>
      <c r="HG18" s="43">
        <v>4</v>
      </c>
      <c r="HH18" s="43">
        <v>1</v>
      </c>
      <c r="HI18" s="43">
        <v>0</v>
      </c>
      <c r="HJ18" s="43">
        <v>2</v>
      </c>
      <c r="HK18" s="43">
        <v>1</v>
      </c>
      <c r="HL18" s="43">
        <v>0</v>
      </c>
      <c r="HM18" s="43">
        <v>1</v>
      </c>
      <c r="HN18" s="43">
        <v>1</v>
      </c>
      <c r="HO18" s="43">
        <v>2</v>
      </c>
      <c r="HP18" s="43">
        <v>2</v>
      </c>
      <c r="HQ18" s="43">
        <v>0</v>
      </c>
      <c r="HR18" s="43">
        <v>0</v>
      </c>
      <c r="HS18" s="43">
        <v>2</v>
      </c>
      <c r="HT18" s="43">
        <v>1</v>
      </c>
      <c r="HU18" s="43">
        <v>0</v>
      </c>
      <c r="HV18" s="43">
        <v>3</v>
      </c>
      <c r="HW18" s="43">
        <v>0</v>
      </c>
      <c r="HX18" s="43">
        <v>1</v>
      </c>
      <c r="HY18" s="43">
        <v>4</v>
      </c>
      <c r="HZ18" s="43">
        <v>2</v>
      </c>
      <c r="IA18" s="43">
        <v>1</v>
      </c>
      <c r="IB18" s="43">
        <v>2</v>
      </c>
      <c r="IC18" s="43">
        <v>0</v>
      </c>
      <c r="ID18" s="43">
        <v>1</v>
      </c>
      <c r="IE18" s="43">
        <v>3</v>
      </c>
      <c r="IF18" s="43">
        <v>1</v>
      </c>
      <c r="IG18" s="43">
        <v>1</v>
      </c>
      <c r="IH18" s="43">
        <v>3</v>
      </c>
      <c r="II18" s="43">
        <v>1</v>
      </c>
      <c r="IJ18" s="43">
        <v>1</v>
      </c>
      <c r="IK18" s="43">
        <v>3</v>
      </c>
      <c r="IL18" s="43">
        <v>3</v>
      </c>
      <c r="IM18" s="43">
        <v>1</v>
      </c>
      <c r="IN18" s="43">
        <v>2</v>
      </c>
      <c r="IO18" s="43">
        <v>0</v>
      </c>
      <c r="IP18" s="43">
        <v>1</v>
      </c>
      <c r="IQ18" s="43">
        <v>1</v>
      </c>
      <c r="IR18" s="43">
        <v>2</v>
      </c>
      <c r="IS18" s="43">
        <v>1</v>
      </c>
      <c r="IT18" s="43">
        <v>3</v>
      </c>
      <c r="IU18" s="43">
        <v>0</v>
      </c>
      <c r="IV18" s="43">
        <v>0</v>
      </c>
      <c r="IW18" s="43">
        <v>2</v>
      </c>
      <c r="IX18" s="43">
        <v>1</v>
      </c>
      <c r="IY18" s="43">
        <v>0</v>
      </c>
      <c r="IZ18" s="43">
        <v>3</v>
      </c>
      <c r="JA18" s="43">
        <v>2</v>
      </c>
      <c r="JB18" s="43">
        <v>0</v>
      </c>
      <c r="JC18" s="43">
        <v>2</v>
      </c>
      <c r="JD18" s="43">
        <v>1</v>
      </c>
      <c r="JE18" s="43">
        <v>1</v>
      </c>
      <c r="JF18" s="43">
        <v>3</v>
      </c>
      <c r="JG18" s="43">
        <v>3</v>
      </c>
      <c r="JH18" s="43">
        <v>1</v>
      </c>
      <c r="JI18" s="43">
        <v>3</v>
      </c>
      <c r="JJ18" s="43">
        <v>2</v>
      </c>
      <c r="JK18" s="43">
        <v>1</v>
      </c>
      <c r="JL18" s="43">
        <v>2</v>
      </c>
      <c r="JM18" s="43">
        <v>2</v>
      </c>
      <c r="JN18" s="43">
        <v>2</v>
      </c>
      <c r="JO18" s="43">
        <v>2</v>
      </c>
      <c r="JP18" s="43">
        <v>2</v>
      </c>
      <c r="JQ18" s="43">
        <v>2</v>
      </c>
      <c r="JR18" s="43">
        <v>3</v>
      </c>
      <c r="JS18" s="43">
        <v>0</v>
      </c>
      <c r="JT18" s="43">
        <v>1</v>
      </c>
      <c r="JU18" s="43">
        <v>2</v>
      </c>
      <c r="JV18" s="43">
        <v>1</v>
      </c>
      <c r="JW18" s="43">
        <v>1</v>
      </c>
      <c r="JX18" s="43">
        <v>4</v>
      </c>
      <c r="JY18" s="43">
        <v>2</v>
      </c>
      <c r="JZ18" s="43">
        <v>0</v>
      </c>
      <c r="KA18" s="43">
        <v>3</v>
      </c>
      <c r="KB18" s="43">
        <v>1</v>
      </c>
      <c r="KC18" s="43">
        <v>1</v>
      </c>
      <c r="KD18" s="43">
        <v>3</v>
      </c>
      <c r="KE18" s="43">
        <v>2</v>
      </c>
      <c r="KF18" s="43">
        <v>0</v>
      </c>
      <c r="KG18" s="43">
        <v>3</v>
      </c>
      <c r="KH18" s="43">
        <v>3</v>
      </c>
      <c r="KI18" s="43">
        <v>1</v>
      </c>
      <c r="KJ18" s="43">
        <v>4</v>
      </c>
      <c r="KK18" s="43">
        <v>1</v>
      </c>
      <c r="KL18" s="43">
        <v>0</v>
      </c>
      <c r="KM18" s="43">
        <v>2</v>
      </c>
      <c r="KN18" s="43">
        <v>0</v>
      </c>
      <c r="KO18" s="43">
        <v>2</v>
      </c>
    </row>
    <row r="19" spans="1:301" x14ac:dyDescent="0.4">
      <c r="A19" s="43">
        <v>15</v>
      </c>
      <c r="B19" s="43">
        <v>2</v>
      </c>
      <c r="C19" s="43">
        <v>1</v>
      </c>
      <c r="D19" s="43">
        <v>1</v>
      </c>
      <c r="E19" s="43">
        <v>1</v>
      </c>
      <c r="F19" s="43">
        <v>1</v>
      </c>
      <c r="G19" s="43">
        <v>2</v>
      </c>
      <c r="H19" s="43">
        <v>3</v>
      </c>
      <c r="I19" s="43">
        <v>0</v>
      </c>
      <c r="J19" s="43">
        <v>0</v>
      </c>
      <c r="K19" s="43">
        <v>1</v>
      </c>
      <c r="L19" s="43">
        <v>1</v>
      </c>
      <c r="M19" s="43">
        <v>0</v>
      </c>
      <c r="N19" s="43">
        <v>1</v>
      </c>
      <c r="O19" s="43">
        <v>1</v>
      </c>
      <c r="P19" s="43">
        <v>0</v>
      </c>
      <c r="Q19" s="43">
        <v>2</v>
      </c>
      <c r="R19" s="43">
        <v>1</v>
      </c>
      <c r="S19" s="43">
        <v>0</v>
      </c>
      <c r="T19" s="43">
        <v>3</v>
      </c>
      <c r="U19" s="43">
        <v>1</v>
      </c>
      <c r="V19" s="43">
        <v>0</v>
      </c>
      <c r="W19" s="43">
        <v>4</v>
      </c>
      <c r="X19" s="43">
        <v>0</v>
      </c>
      <c r="Y19" s="43">
        <v>1</v>
      </c>
      <c r="Z19" s="43">
        <v>4</v>
      </c>
      <c r="AA19" s="43">
        <v>1</v>
      </c>
      <c r="AB19" s="43">
        <v>0</v>
      </c>
      <c r="AC19" s="43">
        <v>2</v>
      </c>
      <c r="AD19" s="43">
        <v>0</v>
      </c>
      <c r="AE19" s="43">
        <v>0</v>
      </c>
      <c r="AF19" s="43">
        <v>4</v>
      </c>
      <c r="AG19" s="43">
        <v>1</v>
      </c>
      <c r="AH19" s="43">
        <v>1</v>
      </c>
      <c r="AI19" s="43">
        <v>3</v>
      </c>
      <c r="AJ19" s="43">
        <v>1</v>
      </c>
      <c r="AK19" s="43">
        <v>0</v>
      </c>
      <c r="AL19" s="43">
        <v>3</v>
      </c>
      <c r="AM19" s="43">
        <v>1</v>
      </c>
      <c r="AN19" s="43">
        <v>0</v>
      </c>
      <c r="AO19" s="43">
        <v>1</v>
      </c>
      <c r="AP19" s="43">
        <v>1</v>
      </c>
      <c r="AQ19" s="43">
        <v>0</v>
      </c>
      <c r="AR19" s="43">
        <v>1</v>
      </c>
      <c r="AS19" s="43">
        <v>1</v>
      </c>
      <c r="AT19" s="43">
        <v>4</v>
      </c>
      <c r="AU19" s="43">
        <v>2</v>
      </c>
      <c r="AV19" s="43">
        <v>0</v>
      </c>
      <c r="AW19" s="43">
        <v>2</v>
      </c>
      <c r="AX19" s="43">
        <v>2</v>
      </c>
      <c r="AY19" s="43">
        <v>2</v>
      </c>
      <c r="AZ19" s="43">
        <v>1</v>
      </c>
      <c r="BA19" s="43">
        <v>2</v>
      </c>
      <c r="BB19" s="43">
        <v>1</v>
      </c>
      <c r="BC19" s="43">
        <v>1</v>
      </c>
      <c r="BD19" s="43">
        <v>3</v>
      </c>
      <c r="BE19" s="43">
        <v>1</v>
      </c>
      <c r="BF19" s="43">
        <v>0</v>
      </c>
      <c r="BG19" s="43">
        <v>2</v>
      </c>
      <c r="BH19" s="43">
        <v>1</v>
      </c>
      <c r="BI19" s="43">
        <v>0</v>
      </c>
      <c r="BJ19" s="43">
        <v>3</v>
      </c>
      <c r="BK19" s="43">
        <v>0</v>
      </c>
      <c r="BL19" s="43">
        <v>0</v>
      </c>
      <c r="BM19" s="43">
        <v>3</v>
      </c>
      <c r="BN19" s="43">
        <v>2</v>
      </c>
      <c r="BO19" s="43">
        <v>0</v>
      </c>
      <c r="BP19" s="43">
        <v>1</v>
      </c>
      <c r="BQ19" s="43">
        <v>0</v>
      </c>
      <c r="BR19" s="43">
        <v>0</v>
      </c>
      <c r="BS19" s="43">
        <v>2</v>
      </c>
      <c r="BT19" s="43">
        <v>1</v>
      </c>
      <c r="BU19" s="43">
        <v>1</v>
      </c>
      <c r="BV19" s="43">
        <v>1</v>
      </c>
      <c r="BW19" s="43">
        <v>1</v>
      </c>
      <c r="BX19" s="43">
        <v>1</v>
      </c>
      <c r="BY19" s="43">
        <v>3</v>
      </c>
      <c r="BZ19" s="43">
        <v>1</v>
      </c>
      <c r="CA19" s="43">
        <v>0</v>
      </c>
      <c r="CB19" s="43">
        <v>3</v>
      </c>
      <c r="CC19" s="43">
        <v>1</v>
      </c>
      <c r="CD19" s="43">
        <v>0</v>
      </c>
      <c r="CE19" s="43">
        <v>4</v>
      </c>
      <c r="CF19" s="43">
        <v>3</v>
      </c>
      <c r="CG19" s="43">
        <v>0</v>
      </c>
      <c r="CH19" s="43">
        <v>1</v>
      </c>
      <c r="CI19" s="43">
        <v>2</v>
      </c>
      <c r="CJ19" s="43">
        <v>2</v>
      </c>
      <c r="CK19" s="43">
        <v>1</v>
      </c>
      <c r="CL19" s="43">
        <v>1</v>
      </c>
      <c r="CM19" s="43">
        <v>2</v>
      </c>
      <c r="CN19" s="43">
        <v>2</v>
      </c>
      <c r="CO19" s="43">
        <v>1</v>
      </c>
      <c r="CP19" s="43">
        <v>1</v>
      </c>
      <c r="CQ19" s="43">
        <v>2</v>
      </c>
      <c r="CR19" s="43">
        <v>1</v>
      </c>
      <c r="CS19" s="43">
        <v>2</v>
      </c>
      <c r="CT19" s="43">
        <v>2</v>
      </c>
      <c r="CU19" s="43">
        <v>1</v>
      </c>
      <c r="CV19" s="43">
        <v>1</v>
      </c>
      <c r="CW19" s="43">
        <v>1</v>
      </c>
      <c r="CX19" s="43">
        <v>1</v>
      </c>
      <c r="CY19" s="43">
        <v>0</v>
      </c>
      <c r="CZ19" s="43">
        <v>1</v>
      </c>
      <c r="DA19" s="43">
        <v>0</v>
      </c>
      <c r="DB19" s="43">
        <v>1</v>
      </c>
      <c r="DC19" s="43">
        <v>3</v>
      </c>
      <c r="DD19" s="43">
        <v>1</v>
      </c>
      <c r="DE19" s="43">
        <v>3</v>
      </c>
      <c r="DF19" s="43">
        <v>3</v>
      </c>
      <c r="DG19" s="43">
        <v>1</v>
      </c>
      <c r="DH19" s="43">
        <v>0</v>
      </c>
      <c r="DI19" s="43">
        <v>2</v>
      </c>
      <c r="DJ19" s="43">
        <v>0</v>
      </c>
      <c r="DK19" s="43">
        <v>1</v>
      </c>
      <c r="DL19" s="43">
        <v>1</v>
      </c>
      <c r="DM19" s="43">
        <v>0</v>
      </c>
      <c r="DN19" s="43">
        <v>1</v>
      </c>
      <c r="DO19" s="43">
        <v>2</v>
      </c>
      <c r="DP19" s="43">
        <v>1</v>
      </c>
      <c r="DQ19" s="43">
        <v>0</v>
      </c>
      <c r="DR19" s="43">
        <v>2</v>
      </c>
      <c r="DS19" s="43">
        <v>0</v>
      </c>
      <c r="DT19" s="43">
        <v>1</v>
      </c>
      <c r="DU19" s="43">
        <v>4</v>
      </c>
      <c r="DV19" s="43">
        <v>1</v>
      </c>
      <c r="DW19" s="43">
        <v>1</v>
      </c>
      <c r="DX19" s="43">
        <v>3</v>
      </c>
      <c r="DY19" s="43">
        <v>0</v>
      </c>
      <c r="DZ19" s="43">
        <v>0</v>
      </c>
      <c r="EA19" s="43">
        <v>3</v>
      </c>
      <c r="EB19" s="43">
        <v>0</v>
      </c>
      <c r="EC19" s="43">
        <v>0</v>
      </c>
      <c r="ED19" s="43">
        <v>4</v>
      </c>
      <c r="EE19" s="43">
        <v>1</v>
      </c>
      <c r="EF19" s="43">
        <v>1</v>
      </c>
      <c r="EG19" s="43">
        <v>3</v>
      </c>
      <c r="EH19" s="43">
        <v>1</v>
      </c>
      <c r="EI19" s="43">
        <v>2</v>
      </c>
      <c r="EJ19" s="43">
        <v>2</v>
      </c>
      <c r="EK19" s="43">
        <v>1</v>
      </c>
      <c r="EL19" s="43">
        <v>2</v>
      </c>
      <c r="EM19" s="43">
        <v>3</v>
      </c>
      <c r="EN19" s="43">
        <v>0</v>
      </c>
      <c r="EO19" s="43">
        <v>1</v>
      </c>
      <c r="EP19" s="43">
        <v>1</v>
      </c>
      <c r="EQ19" s="43">
        <v>1</v>
      </c>
      <c r="ER19" s="43">
        <v>0</v>
      </c>
      <c r="ES19" s="43">
        <v>3</v>
      </c>
      <c r="ET19" s="43">
        <v>1</v>
      </c>
      <c r="EU19" s="43">
        <v>1</v>
      </c>
      <c r="EV19" s="43">
        <v>4</v>
      </c>
      <c r="EW19" s="43">
        <v>0</v>
      </c>
      <c r="EX19" s="43">
        <v>0</v>
      </c>
      <c r="EY19" s="43">
        <v>2</v>
      </c>
      <c r="EZ19" s="43">
        <v>1</v>
      </c>
      <c r="FA19" s="43">
        <v>0</v>
      </c>
      <c r="FB19" s="43">
        <v>2</v>
      </c>
      <c r="FC19" s="43">
        <v>0</v>
      </c>
      <c r="FD19" s="43">
        <v>0</v>
      </c>
      <c r="FE19" s="43">
        <v>3</v>
      </c>
      <c r="FF19" s="43">
        <v>0</v>
      </c>
      <c r="FG19" s="43">
        <v>1</v>
      </c>
      <c r="FH19" s="43">
        <v>1</v>
      </c>
      <c r="FI19" s="43">
        <v>1</v>
      </c>
      <c r="FJ19" s="43">
        <v>0</v>
      </c>
      <c r="FK19" s="43">
        <v>4</v>
      </c>
      <c r="FL19" s="43">
        <v>2</v>
      </c>
      <c r="FM19" s="43">
        <v>0</v>
      </c>
      <c r="FN19" s="43">
        <v>3</v>
      </c>
      <c r="FO19" s="43">
        <v>3</v>
      </c>
      <c r="FP19" s="43">
        <v>1</v>
      </c>
      <c r="FQ19" s="43">
        <v>2</v>
      </c>
      <c r="FR19" s="43">
        <v>0</v>
      </c>
      <c r="FS19" s="43">
        <v>0</v>
      </c>
      <c r="FT19" s="43">
        <v>2</v>
      </c>
      <c r="FU19" s="43">
        <v>1</v>
      </c>
      <c r="FV19" s="43">
        <v>1</v>
      </c>
      <c r="FW19" s="43">
        <v>2</v>
      </c>
      <c r="FX19" s="43">
        <v>0</v>
      </c>
      <c r="FY19" s="43">
        <v>2</v>
      </c>
      <c r="FZ19" s="43">
        <v>4</v>
      </c>
      <c r="GA19" s="43">
        <v>3</v>
      </c>
      <c r="GB19" s="43">
        <v>0</v>
      </c>
      <c r="GC19" s="43">
        <v>1</v>
      </c>
      <c r="GD19" s="43">
        <v>0</v>
      </c>
      <c r="GE19" s="43">
        <v>1</v>
      </c>
      <c r="GF19" s="43">
        <v>0</v>
      </c>
      <c r="GG19" s="43">
        <v>1</v>
      </c>
      <c r="GH19" s="43">
        <v>3</v>
      </c>
      <c r="GI19" s="43">
        <v>3</v>
      </c>
      <c r="GJ19" s="43">
        <v>1</v>
      </c>
      <c r="GK19" s="43">
        <v>1</v>
      </c>
      <c r="GL19" s="43">
        <v>2</v>
      </c>
      <c r="GM19" s="43">
        <v>1</v>
      </c>
      <c r="GN19" s="43">
        <v>0</v>
      </c>
      <c r="GO19" s="43">
        <v>2</v>
      </c>
      <c r="GP19" s="43">
        <v>1</v>
      </c>
      <c r="GQ19" s="43">
        <v>0</v>
      </c>
      <c r="GR19" s="43">
        <v>2</v>
      </c>
      <c r="GS19" s="43">
        <v>2</v>
      </c>
      <c r="GT19" s="43">
        <v>2</v>
      </c>
      <c r="GU19" s="43">
        <v>3</v>
      </c>
      <c r="GV19" s="43">
        <v>0</v>
      </c>
      <c r="GW19" s="43">
        <v>0</v>
      </c>
      <c r="GX19" s="43">
        <v>3</v>
      </c>
      <c r="GY19" s="43">
        <v>2</v>
      </c>
      <c r="GZ19" s="43">
        <v>1</v>
      </c>
      <c r="HA19" s="43">
        <v>2</v>
      </c>
      <c r="HB19" s="43">
        <v>0</v>
      </c>
      <c r="HC19" s="43">
        <v>1</v>
      </c>
      <c r="HD19" s="43">
        <v>2</v>
      </c>
      <c r="HE19" s="43">
        <v>1</v>
      </c>
      <c r="HF19" s="43">
        <v>1</v>
      </c>
      <c r="HG19" s="43">
        <v>1</v>
      </c>
      <c r="HH19" s="43">
        <v>1</v>
      </c>
      <c r="HI19" s="43">
        <v>0</v>
      </c>
      <c r="HJ19" s="43">
        <v>1</v>
      </c>
      <c r="HK19" s="43">
        <v>1</v>
      </c>
      <c r="HL19" s="43">
        <v>1</v>
      </c>
      <c r="HM19" s="43">
        <v>2</v>
      </c>
      <c r="HN19" s="43">
        <v>2</v>
      </c>
      <c r="HO19" s="43">
        <v>1</v>
      </c>
      <c r="HP19" s="43">
        <v>4</v>
      </c>
      <c r="HQ19" s="43">
        <v>1</v>
      </c>
      <c r="HR19" s="43">
        <v>2</v>
      </c>
      <c r="HS19" s="43">
        <v>2</v>
      </c>
      <c r="HT19" s="43">
        <v>1</v>
      </c>
      <c r="HU19" s="43">
        <v>0</v>
      </c>
      <c r="HV19" s="43">
        <v>2</v>
      </c>
      <c r="HW19" s="43">
        <v>2</v>
      </c>
      <c r="HX19" s="43">
        <v>0</v>
      </c>
      <c r="HY19" s="43">
        <v>1</v>
      </c>
      <c r="HZ19" s="43">
        <v>0</v>
      </c>
      <c r="IA19" s="43">
        <v>1</v>
      </c>
      <c r="IB19" s="43">
        <v>3</v>
      </c>
      <c r="IC19" s="43">
        <v>1</v>
      </c>
      <c r="ID19" s="43">
        <v>1</v>
      </c>
      <c r="IE19" s="43">
        <v>4</v>
      </c>
      <c r="IF19" s="43">
        <v>1</v>
      </c>
      <c r="IG19" s="43">
        <v>0</v>
      </c>
      <c r="IH19" s="43">
        <v>2</v>
      </c>
      <c r="II19" s="43">
        <v>2</v>
      </c>
      <c r="IJ19" s="43">
        <v>1</v>
      </c>
      <c r="IK19" s="43">
        <v>3</v>
      </c>
      <c r="IL19" s="43">
        <v>2</v>
      </c>
      <c r="IM19" s="43">
        <v>0</v>
      </c>
      <c r="IN19" s="43">
        <v>3</v>
      </c>
      <c r="IO19" s="43">
        <v>2</v>
      </c>
      <c r="IP19" s="43">
        <v>0</v>
      </c>
      <c r="IQ19" s="43">
        <v>0</v>
      </c>
      <c r="IR19" s="43">
        <v>0</v>
      </c>
      <c r="IS19" s="43">
        <v>0</v>
      </c>
      <c r="IT19" s="43">
        <v>3</v>
      </c>
      <c r="IU19" s="43">
        <v>2</v>
      </c>
      <c r="IV19" s="43">
        <v>0</v>
      </c>
      <c r="IW19" s="43">
        <v>3</v>
      </c>
      <c r="IX19" s="43">
        <v>0</v>
      </c>
      <c r="IY19" s="43">
        <v>0</v>
      </c>
      <c r="IZ19" s="43">
        <v>3</v>
      </c>
      <c r="JA19" s="43">
        <v>1</v>
      </c>
      <c r="JB19" s="43">
        <v>1</v>
      </c>
      <c r="JC19" s="43">
        <v>3</v>
      </c>
      <c r="JD19" s="43">
        <v>0</v>
      </c>
      <c r="JE19" s="43">
        <v>1</v>
      </c>
      <c r="JF19" s="43">
        <v>3</v>
      </c>
      <c r="JG19" s="43">
        <v>1</v>
      </c>
      <c r="JH19" s="43">
        <v>0</v>
      </c>
      <c r="JI19" s="43">
        <v>3</v>
      </c>
      <c r="JJ19" s="43">
        <v>1</v>
      </c>
      <c r="JK19" s="43">
        <v>0</v>
      </c>
      <c r="JL19" s="43">
        <v>3</v>
      </c>
      <c r="JM19" s="43">
        <v>0</v>
      </c>
      <c r="JN19" s="43">
        <v>1</v>
      </c>
      <c r="JO19" s="43">
        <v>2</v>
      </c>
      <c r="JP19" s="43">
        <v>2</v>
      </c>
      <c r="JQ19" s="43">
        <v>0</v>
      </c>
      <c r="JR19" s="43">
        <v>2</v>
      </c>
      <c r="JS19" s="43">
        <v>0</v>
      </c>
      <c r="JT19" s="43">
        <v>0</v>
      </c>
      <c r="JU19" s="43">
        <v>2</v>
      </c>
      <c r="JV19" s="43">
        <v>0</v>
      </c>
      <c r="JW19" s="43">
        <v>1</v>
      </c>
      <c r="JX19" s="43">
        <v>2</v>
      </c>
      <c r="JY19" s="43">
        <v>4</v>
      </c>
      <c r="JZ19" s="43">
        <v>1</v>
      </c>
      <c r="KA19" s="43">
        <v>2</v>
      </c>
      <c r="KB19" s="43">
        <v>2</v>
      </c>
      <c r="KC19" s="43">
        <v>0</v>
      </c>
      <c r="KD19" s="43">
        <v>3</v>
      </c>
      <c r="KE19" s="43">
        <v>2</v>
      </c>
      <c r="KF19" s="43">
        <v>1</v>
      </c>
      <c r="KG19" s="43">
        <v>3</v>
      </c>
      <c r="KH19" s="43">
        <v>2</v>
      </c>
      <c r="KI19" s="43">
        <v>0</v>
      </c>
      <c r="KJ19" s="43">
        <v>2</v>
      </c>
      <c r="KK19" s="43">
        <v>0</v>
      </c>
      <c r="KL19" s="43">
        <v>0</v>
      </c>
      <c r="KM19" s="43">
        <v>2</v>
      </c>
      <c r="KN19" s="43">
        <v>0</v>
      </c>
      <c r="KO19" s="43">
        <v>0</v>
      </c>
    </row>
    <row r="20" spans="1:301" x14ac:dyDescent="0.4">
      <c r="A20" s="43">
        <v>16</v>
      </c>
      <c r="B20" s="43">
        <v>2</v>
      </c>
      <c r="C20" s="43">
        <v>2</v>
      </c>
      <c r="D20" s="43">
        <v>1</v>
      </c>
      <c r="E20" s="43">
        <v>1</v>
      </c>
      <c r="F20" s="43">
        <v>1</v>
      </c>
      <c r="G20" s="43">
        <v>0</v>
      </c>
      <c r="H20" s="43">
        <v>3</v>
      </c>
      <c r="I20" s="43">
        <v>3</v>
      </c>
      <c r="J20" s="43">
        <v>0</v>
      </c>
      <c r="K20" s="43">
        <v>3</v>
      </c>
      <c r="L20" s="43">
        <v>1</v>
      </c>
      <c r="M20" s="43">
        <v>2</v>
      </c>
      <c r="N20" s="43">
        <v>3</v>
      </c>
      <c r="O20" s="43">
        <v>0</v>
      </c>
      <c r="P20" s="43">
        <v>1</v>
      </c>
      <c r="Q20" s="43">
        <v>2</v>
      </c>
      <c r="R20" s="43">
        <v>1</v>
      </c>
      <c r="S20" s="43">
        <v>1</v>
      </c>
      <c r="T20" s="43">
        <v>2</v>
      </c>
      <c r="U20" s="43">
        <v>3</v>
      </c>
      <c r="V20" s="43">
        <v>1</v>
      </c>
      <c r="W20" s="43">
        <v>3</v>
      </c>
      <c r="X20" s="43">
        <v>1</v>
      </c>
      <c r="Y20" s="43">
        <v>1</v>
      </c>
      <c r="Z20" s="43">
        <v>2</v>
      </c>
      <c r="AA20" s="43">
        <v>2</v>
      </c>
      <c r="AB20" s="43">
        <v>0</v>
      </c>
      <c r="AC20" s="43">
        <v>3</v>
      </c>
      <c r="AD20" s="43">
        <v>1</v>
      </c>
      <c r="AE20" s="43">
        <v>1</v>
      </c>
      <c r="AF20" s="43">
        <v>2</v>
      </c>
      <c r="AG20" s="43">
        <v>0</v>
      </c>
      <c r="AH20" s="43">
        <v>1</v>
      </c>
      <c r="AI20" s="43">
        <v>2</v>
      </c>
      <c r="AJ20" s="43">
        <v>2</v>
      </c>
      <c r="AK20" s="43">
        <v>0</v>
      </c>
      <c r="AL20" s="43">
        <v>2</v>
      </c>
      <c r="AM20" s="43">
        <v>1</v>
      </c>
      <c r="AN20" s="43">
        <v>0</v>
      </c>
      <c r="AO20" s="43">
        <v>2</v>
      </c>
      <c r="AP20" s="43">
        <v>2</v>
      </c>
      <c r="AQ20" s="43">
        <v>1</v>
      </c>
      <c r="AR20" s="43">
        <v>2</v>
      </c>
      <c r="AS20" s="43">
        <v>2</v>
      </c>
      <c r="AT20" s="43">
        <v>0</v>
      </c>
      <c r="AU20" s="43">
        <v>1</v>
      </c>
      <c r="AV20" s="43">
        <v>0</v>
      </c>
      <c r="AW20" s="43">
        <v>3</v>
      </c>
      <c r="AX20" s="43">
        <v>2</v>
      </c>
      <c r="AY20" s="43">
        <v>1</v>
      </c>
      <c r="AZ20" s="43">
        <v>1</v>
      </c>
      <c r="BA20" s="43">
        <v>1</v>
      </c>
      <c r="BB20" s="43">
        <v>1</v>
      </c>
      <c r="BC20" s="43">
        <v>0</v>
      </c>
      <c r="BD20" s="43">
        <v>1</v>
      </c>
      <c r="BE20" s="43">
        <v>0</v>
      </c>
      <c r="BF20" s="43">
        <v>2</v>
      </c>
      <c r="BG20" s="43">
        <v>1</v>
      </c>
      <c r="BH20" s="43">
        <v>2</v>
      </c>
      <c r="BI20" s="43">
        <v>0</v>
      </c>
      <c r="BJ20" s="43">
        <v>3</v>
      </c>
      <c r="BK20" s="43">
        <v>0</v>
      </c>
      <c r="BL20" s="43">
        <v>1</v>
      </c>
      <c r="BM20" s="43">
        <v>3</v>
      </c>
      <c r="BN20" s="43">
        <v>0</v>
      </c>
      <c r="BO20" s="43">
        <v>0</v>
      </c>
      <c r="BP20" s="43">
        <v>3</v>
      </c>
      <c r="BQ20" s="43">
        <v>0</v>
      </c>
      <c r="BR20" s="43">
        <v>1</v>
      </c>
      <c r="BS20" s="43">
        <v>3</v>
      </c>
      <c r="BT20" s="43">
        <v>1</v>
      </c>
      <c r="BU20" s="43">
        <v>1</v>
      </c>
      <c r="BV20" s="43">
        <v>3</v>
      </c>
      <c r="BW20" s="43">
        <v>0</v>
      </c>
      <c r="BX20" s="43">
        <v>0</v>
      </c>
      <c r="BY20" s="43">
        <v>3</v>
      </c>
      <c r="BZ20" s="43">
        <v>0</v>
      </c>
      <c r="CA20" s="43">
        <v>0</v>
      </c>
      <c r="CB20" s="43">
        <v>1</v>
      </c>
      <c r="CC20" s="43">
        <v>1</v>
      </c>
      <c r="CD20" s="43">
        <v>1</v>
      </c>
      <c r="CE20" s="43">
        <v>2</v>
      </c>
      <c r="CF20" s="43">
        <v>0</v>
      </c>
      <c r="CG20" s="43">
        <v>1</v>
      </c>
      <c r="CH20" s="43">
        <v>3</v>
      </c>
      <c r="CI20" s="43">
        <v>1</v>
      </c>
      <c r="CJ20" s="43">
        <v>1</v>
      </c>
      <c r="CK20" s="43">
        <v>0</v>
      </c>
      <c r="CL20" s="43">
        <v>1</v>
      </c>
      <c r="CM20" s="43">
        <v>0</v>
      </c>
      <c r="CN20" s="43">
        <v>3</v>
      </c>
      <c r="CO20" s="43">
        <v>1</v>
      </c>
      <c r="CP20" s="43">
        <v>1</v>
      </c>
      <c r="CQ20" s="43">
        <v>2</v>
      </c>
      <c r="CR20" s="43">
        <v>0</v>
      </c>
      <c r="CS20" s="43">
        <v>1</v>
      </c>
      <c r="CT20" s="43">
        <v>0</v>
      </c>
      <c r="CU20" s="43">
        <v>2</v>
      </c>
      <c r="CV20" s="43">
        <v>2</v>
      </c>
      <c r="CW20" s="43">
        <v>4</v>
      </c>
      <c r="CX20" s="43">
        <v>2</v>
      </c>
      <c r="CY20" s="43">
        <v>1</v>
      </c>
      <c r="CZ20" s="43">
        <v>2</v>
      </c>
      <c r="DA20" s="43">
        <v>0</v>
      </c>
      <c r="DB20" s="43">
        <v>1</v>
      </c>
      <c r="DC20" s="43">
        <v>2</v>
      </c>
      <c r="DD20" s="43">
        <v>1</v>
      </c>
      <c r="DE20" s="43">
        <v>0</v>
      </c>
      <c r="DF20" s="43">
        <v>4</v>
      </c>
      <c r="DG20" s="43">
        <v>2</v>
      </c>
      <c r="DH20" s="43">
        <v>2</v>
      </c>
      <c r="DI20" s="43">
        <v>2</v>
      </c>
      <c r="DJ20" s="43">
        <v>1</v>
      </c>
      <c r="DK20" s="43">
        <v>0</v>
      </c>
      <c r="DL20" s="43">
        <v>3</v>
      </c>
      <c r="DM20" s="43">
        <v>0</v>
      </c>
      <c r="DN20" s="43">
        <v>1</v>
      </c>
      <c r="DO20" s="43">
        <v>4</v>
      </c>
      <c r="DP20" s="43">
        <v>1</v>
      </c>
      <c r="DQ20" s="43">
        <v>0</v>
      </c>
      <c r="DR20" s="43">
        <v>4</v>
      </c>
      <c r="DS20" s="43">
        <v>1</v>
      </c>
      <c r="DT20" s="43">
        <v>0</v>
      </c>
      <c r="DU20" s="43">
        <v>3</v>
      </c>
      <c r="DV20" s="43">
        <v>0</v>
      </c>
      <c r="DW20" s="43">
        <v>0</v>
      </c>
      <c r="DX20" s="43">
        <v>4</v>
      </c>
      <c r="DY20" s="43">
        <v>0</v>
      </c>
      <c r="DZ20" s="43">
        <v>1</v>
      </c>
      <c r="EA20" s="43">
        <v>2</v>
      </c>
      <c r="EB20" s="43">
        <v>0</v>
      </c>
      <c r="EC20" s="43">
        <v>0</v>
      </c>
      <c r="ED20" s="43">
        <v>3</v>
      </c>
      <c r="EE20" s="43">
        <v>2</v>
      </c>
      <c r="EF20" s="43">
        <v>1</v>
      </c>
      <c r="EG20" s="43">
        <v>3</v>
      </c>
      <c r="EH20" s="43">
        <v>1</v>
      </c>
      <c r="EI20" s="43">
        <v>1</v>
      </c>
      <c r="EJ20" s="43">
        <v>4</v>
      </c>
      <c r="EK20" s="43">
        <v>2</v>
      </c>
      <c r="EL20" s="43">
        <v>0</v>
      </c>
      <c r="EM20" s="43">
        <v>2</v>
      </c>
      <c r="EN20" s="43">
        <v>1</v>
      </c>
      <c r="EO20" s="43">
        <v>1</v>
      </c>
      <c r="EP20" s="43">
        <v>2</v>
      </c>
      <c r="EQ20" s="43">
        <v>2</v>
      </c>
      <c r="ER20" s="43">
        <v>1</v>
      </c>
      <c r="ES20" s="43">
        <v>3</v>
      </c>
      <c r="ET20" s="43">
        <v>2</v>
      </c>
      <c r="EU20" s="43">
        <v>1</v>
      </c>
      <c r="EV20" s="43">
        <v>3</v>
      </c>
      <c r="EW20" s="43">
        <v>0</v>
      </c>
      <c r="EX20" s="43">
        <v>0</v>
      </c>
      <c r="EY20" s="43">
        <v>1</v>
      </c>
      <c r="EZ20" s="43">
        <v>2</v>
      </c>
      <c r="FA20" s="43">
        <v>0</v>
      </c>
      <c r="FB20" s="43">
        <v>3</v>
      </c>
      <c r="FC20" s="43">
        <v>2</v>
      </c>
      <c r="FD20" s="43">
        <v>2</v>
      </c>
      <c r="FE20" s="43">
        <v>4</v>
      </c>
      <c r="FF20" s="43">
        <v>2</v>
      </c>
      <c r="FG20" s="43">
        <v>0</v>
      </c>
      <c r="FH20" s="43">
        <v>2</v>
      </c>
      <c r="FI20" s="43">
        <v>2</v>
      </c>
      <c r="FJ20" s="43">
        <v>2</v>
      </c>
      <c r="FK20" s="43">
        <v>3</v>
      </c>
      <c r="FL20" s="43">
        <v>1</v>
      </c>
      <c r="FM20" s="43">
        <v>0</v>
      </c>
      <c r="FN20" s="43">
        <v>3</v>
      </c>
      <c r="FO20" s="43">
        <v>3</v>
      </c>
      <c r="FP20" s="43">
        <v>0</v>
      </c>
      <c r="FQ20" s="43">
        <v>0</v>
      </c>
      <c r="FR20" s="43">
        <v>2</v>
      </c>
      <c r="FS20" s="43">
        <v>0</v>
      </c>
      <c r="FT20" s="43">
        <v>1</v>
      </c>
      <c r="FU20" s="43">
        <v>1</v>
      </c>
      <c r="FV20" s="43">
        <v>0</v>
      </c>
      <c r="FW20" s="43">
        <v>2</v>
      </c>
      <c r="FX20" s="43">
        <v>1</v>
      </c>
      <c r="FY20" s="43">
        <v>0</v>
      </c>
      <c r="FZ20" s="43">
        <v>1</v>
      </c>
      <c r="GA20" s="43">
        <v>0</v>
      </c>
      <c r="GB20" s="43">
        <v>1</v>
      </c>
      <c r="GC20" s="43">
        <v>3</v>
      </c>
      <c r="GD20" s="43">
        <v>1</v>
      </c>
      <c r="GE20" s="43">
        <v>0</v>
      </c>
      <c r="GF20" s="43">
        <v>3</v>
      </c>
      <c r="GG20" s="43">
        <v>2</v>
      </c>
      <c r="GH20" s="43">
        <v>1</v>
      </c>
      <c r="GI20" s="43">
        <v>3</v>
      </c>
      <c r="GJ20" s="43">
        <v>2</v>
      </c>
      <c r="GK20" s="43">
        <v>1</v>
      </c>
      <c r="GL20" s="43">
        <v>4</v>
      </c>
      <c r="GM20" s="43">
        <v>1</v>
      </c>
      <c r="GN20" s="43">
        <v>2</v>
      </c>
      <c r="GO20" s="43">
        <v>2</v>
      </c>
      <c r="GP20" s="43">
        <v>1</v>
      </c>
      <c r="GQ20" s="43">
        <v>3</v>
      </c>
      <c r="GR20" s="43">
        <v>3</v>
      </c>
      <c r="GS20" s="43">
        <v>1</v>
      </c>
      <c r="GT20" s="43">
        <v>1</v>
      </c>
      <c r="GU20" s="43">
        <v>3</v>
      </c>
      <c r="GV20" s="43">
        <v>1</v>
      </c>
      <c r="GW20" s="43">
        <v>0</v>
      </c>
      <c r="GX20" s="43">
        <v>3</v>
      </c>
      <c r="GY20" s="43">
        <v>1</v>
      </c>
      <c r="GZ20" s="43">
        <v>2</v>
      </c>
      <c r="HA20" s="43">
        <v>3</v>
      </c>
      <c r="HB20" s="43">
        <v>0</v>
      </c>
      <c r="HC20" s="43">
        <v>2</v>
      </c>
      <c r="HD20" s="43">
        <v>2</v>
      </c>
      <c r="HE20" s="43">
        <v>1</v>
      </c>
      <c r="HF20" s="43">
        <v>1</v>
      </c>
      <c r="HG20" s="43">
        <v>3</v>
      </c>
      <c r="HH20" s="43">
        <v>1</v>
      </c>
      <c r="HI20" s="43">
        <v>1</v>
      </c>
      <c r="HJ20" s="43">
        <v>1</v>
      </c>
      <c r="HK20" s="43">
        <v>0</v>
      </c>
      <c r="HL20" s="43">
        <v>1</v>
      </c>
      <c r="HM20" s="43">
        <v>3</v>
      </c>
      <c r="HN20" s="43">
        <v>0</v>
      </c>
      <c r="HO20" s="43">
        <v>0</v>
      </c>
      <c r="HP20" s="43">
        <v>4</v>
      </c>
      <c r="HQ20" s="43">
        <v>1</v>
      </c>
      <c r="HR20" s="43">
        <v>1</v>
      </c>
      <c r="HS20" s="43">
        <v>2</v>
      </c>
      <c r="HT20" s="43">
        <v>0</v>
      </c>
      <c r="HU20" s="43">
        <v>2</v>
      </c>
      <c r="HV20" s="43">
        <v>2</v>
      </c>
      <c r="HW20" s="43">
        <v>1</v>
      </c>
      <c r="HX20" s="43">
        <v>1</v>
      </c>
      <c r="HY20" s="43">
        <v>3</v>
      </c>
      <c r="HZ20" s="43">
        <v>0</v>
      </c>
      <c r="IA20" s="43">
        <v>1</v>
      </c>
      <c r="IB20" s="43">
        <v>3</v>
      </c>
      <c r="IC20" s="43">
        <v>0</v>
      </c>
      <c r="ID20" s="43">
        <v>1</v>
      </c>
      <c r="IE20" s="43">
        <v>2</v>
      </c>
      <c r="IF20" s="43">
        <v>1</v>
      </c>
      <c r="IG20" s="43">
        <v>1</v>
      </c>
      <c r="IH20" s="43">
        <v>2</v>
      </c>
      <c r="II20" s="43">
        <v>0</v>
      </c>
      <c r="IJ20" s="43">
        <v>1</v>
      </c>
      <c r="IK20" s="43">
        <v>3</v>
      </c>
      <c r="IL20" s="43">
        <v>3</v>
      </c>
      <c r="IM20" s="43">
        <v>1</v>
      </c>
      <c r="IN20" s="43">
        <v>3</v>
      </c>
      <c r="IO20" s="43">
        <v>2</v>
      </c>
      <c r="IP20" s="43">
        <v>2</v>
      </c>
      <c r="IQ20" s="43">
        <v>3</v>
      </c>
      <c r="IR20" s="43">
        <v>3</v>
      </c>
      <c r="IS20" s="43">
        <v>0</v>
      </c>
      <c r="IT20" s="43">
        <v>2</v>
      </c>
      <c r="IU20" s="43">
        <v>0</v>
      </c>
      <c r="IV20" s="43">
        <v>0</v>
      </c>
      <c r="IW20" s="43">
        <v>2</v>
      </c>
      <c r="IX20" s="43">
        <v>2</v>
      </c>
      <c r="IY20" s="43">
        <v>1</v>
      </c>
      <c r="IZ20" s="43">
        <v>2</v>
      </c>
      <c r="JA20" s="43">
        <v>1</v>
      </c>
      <c r="JB20" s="43">
        <v>1</v>
      </c>
      <c r="JC20" s="43">
        <v>2</v>
      </c>
      <c r="JD20" s="43">
        <v>0</v>
      </c>
      <c r="JE20" s="43">
        <v>0</v>
      </c>
      <c r="JF20" s="43">
        <v>3</v>
      </c>
      <c r="JG20" s="43">
        <v>1</v>
      </c>
      <c r="JH20" s="43">
        <v>1</v>
      </c>
      <c r="JI20" s="43">
        <v>2</v>
      </c>
      <c r="JJ20" s="43">
        <v>1</v>
      </c>
      <c r="JK20" s="43">
        <v>1</v>
      </c>
      <c r="JL20" s="43">
        <v>2</v>
      </c>
      <c r="JM20" s="43">
        <v>1</v>
      </c>
      <c r="JN20" s="43">
        <v>2</v>
      </c>
      <c r="JO20" s="43">
        <v>3</v>
      </c>
      <c r="JP20" s="43">
        <v>0</v>
      </c>
      <c r="JQ20" s="43">
        <v>1</v>
      </c>
      <c r="JR20" s="43">
        <v>2</v>
      </c>
      <c r="JS20" s="43">
        <v>2</v>
      </c>
      <c r="JT20" s="43">
        <v>1</v>
      </c>
      <c r="JU20" s="43">
        <v>2</v>
      </c>
      <c r="JV20" s="43">
        <v>1</v>
      </c>
      <c r="JW20" s="43">
        <v>1</v>
      </c>
      <c r="JX20" s="43">
        <v>2</v>
      </c>
      <c r="JY20" s="43">
        <v>1</v>
      </c>
      <c r="JZ20" s="43">
        <v>0</v>
      </c>
      <c r="KA20" s="43">
        <v>3</v>
      </c>
      <c r="KB20" s="43">
        <v>1</v>
      </c>
      <c r="KC20" s="43">
        <v>0</v>
      </c>
      <c r="KD20" s="43">
        <v>2</v>
      </c>
      <c r="KE20" s="43">
        <v>1</v>
      </c>
      <c r="KF20" s="43">
        <v>1</v>
      </c>
      <c r="KG20" s="43">
        <v>4</v>
      </c>
      <c r="KH20" s="43">
        <v>3</v>
      </c>
      <c r="KI20" s="43">
        <v>1</v>
      </c>
      <c r="KJ20" s="43">
        <v>2</v>
      </c>
      <c r="KK20" s="43">
        <v>3</v>
      </c>
      <c r="KL20" s="43">
        <v>1</v>
      </c>
      <c r="KM20" s="43">
        <v>3</v>
      </c>
      <c r="KN20" s="43">
        <v>0</v>
      </c>
      <c r="KO20" s="43">
        <v>1</v>
      </c>
    </row>
    <row r="21" spans="1:301" x14ac:dyDescent="0.4">
      <c r="A21" s="43">
        <v>17</v>
      </c>
      <c r="B21" s="43">
        <v>2</v>
      </c>
      <c r="C21" s="43">
        <v>0</v>
      </c>
      <c r="D21" s="43">
        <v>0</v>
      </c>
      <c r="E21" s="43">
        <v>2</v>
      </c>
      <c r="F21" s="43">
        <v>1</v>
      </c>
      <c r="G21" s="43">
        <v>0</v>
      </c>
      <c r="H21" s="43">
        <v>3</v>
      </c>
      <c r="I21" s="43">
        <v>2</v>
      </c>
      <c r="J21" s="43">
        <v>0</v>
      </c>
      <c r="K21" s="43">
        <v>3</v>
      </c>
      <c r="L21" s="43">
        <v>0</v>
      </c>
      <c r="M21" s="43">
        <v>0</v>
      </c>
      <c r="N21" s="43">
        <v>2</v>
      </c>
      <c r="O21" s="43">
        <v>2</v>
      </c>
      <c r="P21" s="43">
        <v>2</v>
      </c>
      <c r="Q21" s="43">
        <v>2</v>
      </c>
      <c r="R21" s="43">
        <v>2</v>
      </c>
      <c r="S21" s="43">
        <v>0</v>
      </c>
      <c r="T21" s="43">
        <v>3</v>
      </c>
      <c r="U21" s="43">
        <v>2</v>
      </c>
      <c r="V21" s="43">
        <v>0</v>
      </c>
      <c r="W21" s="43">
        <v>3</v>
      </c>
      <c r="X21" s="43">
        <v>1</v>
      </c>
      <c r="Y21" s="43">
        <v>0</v>
      </c>
      <c r="Z21" s="43">
        <v>2</v>
      </c>
      <c r="AA21" s="43">
        <v>1</v>
      </c>
      <c r="AB21" s="43">
        <v>1</v>
      </c>
      <c r="AC21" s="43">
        <v>2</v>
      </c>
      <c r="AD21" s="43">
        <v>0</v>
      </c>
      <c r="AE21" s="43">
        <v>1</v>
      </c>
      <c r="AF21" s="43">
        <v>1</v>
      </c>
      <c r="AG21" s="43">
        <v>2</v>
      </c>
      <c r="AH21" s="43">
        <v>0</v>
      </c>
      <c r="AI21" s="43">
        <v>1</v>
      </c>
      <c r="AJ21" s="43">
        <v>0</v>
      </c>
      <c r="AK21" s="43">
        <v>2</v>
      </c>
      <c r="AL21" s="43">
        <v>1</v>
      </c>
      <c r="AM21" s="43">
        <v>0</v>
      </c>
      <c r="AN21" s="43">
        <v>0</v>
      </c>
      <c r="AO21" s="43">
        <v>2</v>
      </c>
      <c r="AP21" s="43">
        <v>1</v>
      </c>
      <c r="AQ21" s="43">
        <v>0</v>
      </c>
      <c r="AR21" s="43">
        <v>4</v>
      </c>
      <c r="AS21" s="43">
        <v>1</v>
      </c>
      <c r="AT21" s="43">
        <v>1</v>
      </c>
      <c r="AU21" s="43">
        <v>4</v>
      </c>
      <c r="AV21" s="43">
        <v>1</v>
      </c>
      <c r="AW21" s="43">
        <v>0</v>
      </c>
      <c r="AX21" s="43">
        <v>4</v>
      </c>
      <c r="AY21" s="43">
        <v>0</v>
      </c>
      <c r="AZ21" s="43">
        <v>1</v>
      </c>
      <c r="BA21" s="43">
        <v>3</v>
      </c>
      <c r="BB21" s="43">
        <v>2</v>
      </c>
      <c r="BC21" s="43">
        <v>1</v>
      </c>
      <c r="BD21" s="43">
        <v>2</v>
      </c>
      <c r="BE21" s="43">
        <v>2</v>
      </c>
      <c r="BF21" s="43">
        <v>0</v>
      </c>
      <c r="BG21" s="43">
        <v>4</v>
      </c>
      <c r="BH21" s="43">
        <v>3</v>
      </c>
      <c r="BI21" s="43">
        <v>1</v>
      </c>
      <c r="BJ21" s="43">
        <v>1</v>
      </c>
      <c r="BK21" s="43">
        <v>2</v>
      </c>
      <c r="BL21" s="43">
        <v>1</v>
      </c>
      <c r="BM21" s="43">
        <v>3</v>
      </c>
      <c r="BN21" s="43">
        <v>1</v>
      </c>
      <c r="BO21" s="43">
        <v>3</v>
      </c>
      <c r="BP21" s="43">
        <v>3</v>
      </c>
      <c r="BQ21" s="43">
        <v>1</v>
      </c>
      <c r="BR21" s="43">
        <v>0</v>
      </c>
      <c r="BS21" s="43">
        <v>2</v>
      </c>
      <c r="BT21" s="43">
        <v>1</v>
      </c>
      <c r="BU21" s="43">
        <v>0</v>
      </c>
      <c r="BV21" s="43">
        <v>3</v>
      </c>
      <c r="BW21" s="43">
        <v>1</v>
      </c>
      <c r="BX21" s="43">
        <v>1</v>
      </c>
      <c r="BY21" s="43">
        <v>3</v>
      </c>
      <c r="BZ21" s="43">
        <v>1</v>
      </c>
      <c r="CA21" s="43">
        <v>1</v>
      </c>
      <c r="CB21" s="43">
        <v>4</v>
      </c>
      <c r="CC21" s="43">
        <v>0</v>
      </c>
      <c r="CD21" s="43">
        <v>1</v>
      </c>
      <c r="CE21" s="43">
        <v>3</v>
      </c>
      <c r="CF21" s="43">
        <v>0</v>
      </c>
      <c r="CG21" s="43">
        <v>1</v>
      </c>
      <c r="CH21" s="43">
        <v>1</v>
      </c>
      <c r="CI21" s="43">
        <v>1</v>
      </c>
      <c r="CJ21" s="43">
        <v>1</v>
      </c>
      <c r="CK21" s="43">
        <v>3</v>
      </c>
      <c r="CL21" s="43">
        <v>0</v>
      </c>
      <c r="CM21" s="43">
        <v>0</v>
      </c>
      <c r="CN21" s="43">
        <v>0</v>
      </c>
      <c r="CO21" s="43">
        <v>1</v>
      </c>
      <c r="CP21" s="43">
        <v>0</v>
      </c>
      <c r="CQ21" s="43">
        <v>3</v>
      </c>
      <c r="CR21" s="43">
        <v>3</v>
      </c>
      <c r="CS21" s="43">
        <v>0</v>
      </c>
      <c r="CT21" s="43">
        <v>3</v>
      </c>
      <c r="CU21" s="43">
        <v>1</v>
      </c>
      <c r="CV21" s="43">
        <v>1</v>
      </c>
      <c r="CW21" s="43">
        <v>3</v>
      </c>
      <c r="CX21" s="43">
        <v>0</v>
      </c>
      <c r="CY21" s="43">
        <v>1</v>
      </c>
      <c r="CZ21" s="43">
        <v>2</v>
      </c>
      <c r="DA21" s="43">
        <v>0</v>
      </c>
      <c r="DB21" s="43">
        <v>0</v>
      </c>
      <c r="DC21" s="43">
        <v>2</v>
      </c>
      <c r="DD21" s="43">
        <v>2</v>
      </c>
      <c r="DE21" s="43">
        <v>0</v>
      </c>
      <c r="DF21" s="43">
        <v>3</v>
      </c>
      <c r="DG21" s="43">
        <v>1</v>
      </c>
      <c r="DH21" s="43">
        <v>1</v>
      </c>
      <c r="DI21" s="43">
        <v>3</v>
      </c>
      <c r="DJ21" s="43">
        <v>1</v>
      </c>
      <c r="DK21" s="43">
        <v>0</v>
      </c>
      <c r="DL21" s="43">
        <v>1</v>
      </c>
      <c r="DM21" s="43">
        <v>1</v>
      </c>
      <c r="DN21" s="43">
        <v>0</v>
      </c>
      <c r="DO21" s="43">
        <v>3</v>
      </c>
      <c r="DP21" s="43">
        <v>1</v>
      </c>
      <c r="DQ21" s="43">
        <v>2</v>
      </c>
      <c r="DR21" s="43">
        <v>4</v>
      </c>
      <c r="DS21" s="43">
        <v>1</v>
      </c>
      <c r="DT21" s="43">
        <v>0</v>
      </c>
      <c r="DU21" s="43">
        <v>3</v>
      </c>
      <c r="DV21" s="43">
        <v>2</v>
      </c>
      <c r="DW21" s="43">
        <v>1</v>
      </c>
      <c r="DX21" s="43">
        <v>2</v>
      </c>
      <c r="DY21" s="43">
        <v>1</v>
      </c>
      <c r="DZ21" s="43">
        <v>0</v>
      </c>
      <c r="EA21" s="43">
        <v>4</v>
      </c>
      <c r="EB21" s="43">
        <v>1</v>
      </c>
      <c r="EC21" s="43">
        <v>1</v>
      </c>
      <c r="ED21" s="43">
        <v>4</v>
      </c>
      <c r="EE21" s="43">
        <v>0</v>
      </c>
      <c r="EF21" s="43">
        <v>0</v>
      </c>
      <c r="EG21" s="43">
        <v>2</v>
      </c>
      <c r="EH21" s="43">
        <v>0</v>
      </c>
      <c r="EI21" s="43">
        <v>1</v>
      </c>
      <c r="EJ21" s="43">
        <v>2</v>
      </c>
      <c r="EK21" s="43">
        <v>3</v>
      </c>
      <c r="EL21" s="43">
        <v>1</v>
      </c>
      <c r="EM21" s="43">
        <v>2</v>
      </c>
      <c r="EN21" s="43">
        <v>0</v>
      </c>
      <c r="EO21" s="43">
        <v>0</v>
      </c>
      <c r="EP21" s="43">
        <v>1</v>
      </c>
      <c r="EQ21" s="43">
        <v>3</v>
      </c>
      <c r="ER21" s="43">
        <v>4</v>
      </c>
      <c r="ES21" s="43">
        <v>3</v>
      </c>
      <c r="ET21" s="43">
        <v>1</v>
      </c>
      <c r="EU21" s="43">
        <v>2</v>
      </c>
      <c r="EV21" s="43">
        <v>1</v>
      </c>
      <c r="EW21" s="43">
        <v>0</v>
      </c>
      <c r="EX21" s="43">
        <v>0</v>
      </c>
      <c r="EY21" s="43">
        <v>2</v>
      </c>
      <c r="EZ21" s="43">
        <v>0</v>
      </c>
      <c r="FA21" s="43">
        <v>0</v>
      </c>
      <c r="FB21" s="43">
        <v>2</v>
      </c>
      <c r="FC21" s="43">
        <v>2</v>
      </c>
      <c r="FD21" s="43">
        <v>1</v>
      </c>
      <c r="FE21" s="43">
        <v>2</v>
      </c>
      <c r="FF21" s="43">
        <v>1</v>
      </c>
      <c r="FG21" s="43">
        <v>0</v>
      </c>
      <c r="FH21" s="43">
        <v>2</v>
      </c>
      <c r="FI21" s="43">
        <v>1</v>
      </c>
      <c r="FJ21" s="43">
        <v>0</v>
      </c>
      <c r="FK21" s="43">
        <v>4</v>
      </c>
      <c r="FL21" s="43">
        <v>1</v>
      </c>
      <c r="FM21" s="43">
        <v>0</v>
      </c>
      <c r="FN21" s="43">
        <v>1</v>
      </c>
      <c r="FO21" s="43">
        <v>1</v>
      </c>
      <c r="FP21" s="43">
        <v>1</v>
      </c>
      <c r="FQ21" s="43">
        <v>3</v>
      </c>
      <c r="FR21" s="43">
        <v>0</v>
      </c>
      <c r="FS21" s="43">
        <v>0</v>
      </c>
      <c r="FT21" s="43">
        <v>4</v>
      </c>
      <c r="FU21" s="43">
        <v>1</v>
      </c>
      <c r="FV21" s="43">
        <v>2</v>
      </c>
      <c r="FW21" s="43">
        <v>3</v>
      </c>
      <c r="FX21" s="43">
        <v>2</v>
      </c>
      <c r="FY21" s="43">
        <v>0</v>
      </c>
      <c r="FZ21" s="43">
        <v>4</v>
      </c>
      <c r="GA21" s="43">
        <v>1</v>
      </c>
      <c r="GB21" s="43">
        <v>0</v>
      </c>
      <c r="GC21" s="43">
        <v>2</v>
      </c>
      <c r="GD21" s="43">
        <v>1</v>
      </c>
      <c r="GE21" s="43">
        <v>1</v>
      </c>
      <c r="GF21" s="43">
        <v>3</v>
      </c>
      <c r="GG21" s="43">
        <v>2</v>
      </c>
      <c r="GH21" s="43">
        <v>0</v>
      </c>
      <c r="GI21" s="43">
        <v>2</v>
      </c>
      <c r="GJ21" s="43">
        <v>2</v>
      </c>
      <c r="GK21" s="43">
        <v>1</v>
      </c>
      <c r="GL21" s="43">
        <v>4</v>
      </c>
      <c r="GM21" s="43">
        <v>2</v>
      </c>
      <c r="GN21" s="43">
        <v>0</v>
      </c>
      <c r="GO21" s="43">
        <v>2</v>
      </c>
      <c r="GP21" s="43">
        <v>1</v>
      </c>
      <c r="GQ21" s="43">
        <v>0</v>
      </c>
      <c r="GR21" s="43">
        <v>1</v>
      </c>
      <c r="GS21" s="43">
        <v>1</v>
      </c>
      <c r="GT21" s="43">
        <v>2</v>
      </c>
      <c r="GU21" s="43">
        <v>4</v>
      </c>
      <c r="GV21" s="43">
        <v>1</v>
      </c>
      <c r="GW21" s="43">
        <v>1</v>
      </c>
      <c r="GX21" s="43">
        <v>1</v>
      </c>
      <c r="GY21" s="43">
        <v>2</v>
      </c>
      <c r="GZ21" s="43">
        <v>1</v>
      </c>
      <c r="HA21" s="43">
        <v>4</v>
      </c>
      <c r="HB21" s="43">
        <v>2</v>
      </c>
      <c r="HC21" s="43">
        <v>1</v>
      </c>
      <c r="HD21" s="43">
        <v>0</v>
      </c>
      <c r="HE21" s="43">
        <v>2</v>
      </c>
      <c r="HF21" s="43">
        <v>1</v>
      </c>
      <c r="HG21" s="43">
        <v>2</v>
      </c>
      <c r="HH21" s="43">
        <v>0</v>
      </c>
      <c r="HI21" s="43">
        <v>0</v>
      </c>
      <c r="HJ21" s="43">
        <v>2</v>
      </c>
      <c r="HK21" s="43">
        <v>0</v>
      </c>
      <c r="HL21" s="43">
        <v>1</v>
      </c>
      <c r="HM21" s="43">
        <v>2</v>
      </c>
      <c r="HN21" s="43">
        <v>0</v>
      </c>
      <c r="HO21" s="43">
        <v>0</v>
      </c>
      <c r="HP21" s="43">
        <v>3</v>
      </c>
      <c r="HQ21" s="43">
        <v>1</v>
      </c>
      <c r="HR21" s="43">
        <v>2</v>
      </c>
      <c r="HS21" s="43">
        <v>2</v>
      </c>
      <c r="HT21" s="43">
        <v>1</v>
      </c>
      <c r="HU21" s="43">
        <v>1</v>
      </c>
      <c r="HV21" s="43">
        <v>2</v>
      </c>
      <c r="HW21" s="43">
        <v>1</v>
      </c>
      <c r="HX21" s="43">
        <v>0</v>
      </c>
      <c r="HY21" s="43">
        <v>2</v>
      </c>
      <c r="HZ21" s="43">
        <v>1</v>
      </c>
      <c r="IA21" s="43">
        <v>0</v>
      </c>
      <c r="IB21" s="43">
        <v>1</v>
      </c>
      <c r="IC21" s="43">
        <v>1</v>
      </c>
      <c r="ID21" s="43">
        <v>0</v>
      </c>
      <c r="IE21" s="43">
        <v>2</v>
      </c>
      <c r="IF21" s="43">
        <v>0</v>
      </c>
      <c r="IG21" s="43">
        <v>0</v>
      </c>
      <c r="IH21" s="43">
        <v>1</v>
      </c>
      <c r="II21" s="43">
        <v>2</v>
      </c>
      <c r="IJ21" s="43">
        <v>1</v>
      </c>
      <c r="IK21" s="43">
        <v>3</v>
      </c>
      <c r="IL21" s="43">
        <v>0</v>
      </c>
      <c r="IM21" s="43">
        <v>1</v>
      </c>
      <c r="IN21" s="43">
        <v>3</v>
      </c>
      <c r="IO21" s="43">
        <v>0</v>
      </c>
      <c r="IP21" s="43">
        <v>0</v>
      </c>
      <c r="IQ21" s="43">
        <v>2</v>
      </c>
      <c r="IR21" s="43">
        <v>2</v>
      </c>
      <c r="IS21" s="43">
        <v>1</v>
      </c>
      <c r="IT21" s="43">
        <v>2</v>
      </c>
      <c r="IU21" s="43">
        <v>1</v>
      </c>
      <c r="IV21" s="43">
        <v>1</v>
      </c>
      <c r="IW21" s="43">
        <v>2</v>
      </c>
      <c r="IX21" s="43">
        <v>2</v>
      </c>
      <c r="IY21" s="43">
        <v>0</v>
      </c>
      <c r="IZ21" s="43">
        <v>3</v>
      </c>
      <c r="JA21" s="43">
        <v>1</v>
      </c>
      <c r="JB21" s="43">
        <v>1</v>
      </c>
      <c r="JC21" s="43">
        <v>3</v>
      </c>
      <c r="JD21" s="43">
        <v>0</v>
      </c>
      <c r="JE21" s="43">
        <v>1</v>
      </c>
      <c r="JF21" s="43">
        <v>3</v>
      </c>
      <c r="JG21" s="43">
        <v>1</v>
      </c>
      <c r="JH21" s="43">
        <v>2</v>
      </c>
      <c r="JI21" s="43">
        <v>3</v>
      </c>
      <c r="JJ21" s="43">
        <v>0</v>
      </c>
      <c r="JK21" s="43">
        <v>1</v>
      </c>
      <c r="JL21" s="43">
        <v>4</v>
      </c>
      <c r="JM21" s="43">
        <v>0</v>
      </c>
      <c r="JN21" s="43">
        <v>2</v>
      </c>
      <c r="JO21" s="43">
        <v>3</v>
      </c>
      <c r="JP21" s="43">
        <v>0</v>
      </c>
      <c r="JQ21" s="43">
        <v>0</v>
      </c>
      <c r="JR21" s="43">
        <v>4</v>
      </c>
      <c r="JS21" s="43">
        <v>0</v>
      </c>
      <c r="JT21" s="43">
        <v>1</v>
      </c>
      <c r="JU21" s="43">
        <v>2</v>
      </c>
      <c r="JV21" s="43">
        <v>0</v>
      </c>
      <c r="JW21" s="43">
        <v>0</v>
      </c>
      <c r="JX21" s="43">
        <v>4</v>
      </c>
      <c r="JY21" s="43">
        <v>1</v>
      </c>
      <c r="JZ21" s="43">
        <v>1</v>
      </c>
      <c r="KA21" s="43">
        <v>1</v>
      </c>
      <c r="KB21" s="43">
        <v>1</v>
      </c>
      <c r="KC21" s="43">
        <v>0</v>
      </c>
      <c r="KD21" s="43">
        <v>1</v>
      </c>
      <c r="KE21" s="43">
        <v>1</v>
      </c>
      <c r="KF21" s="43">
        <v>1</v>
      </c>
      <c r="KG21" s="43">
        <v>1</v>
      </c>
      <c r="KH21" s="43">
        <v>1</v>
      </c>
      <c r="KI21" s="43">
        <v>1</v>
      </c>
      <c r="KJ21" s="43">
        <v>3</v>
      </c>
      <c r="KK21" s="43">
        <v>1</v>
      </c>
      <c r="KL21" s="43">
        <v>0</v>
      </c>
      <c r="KM21" s="43">
        <v>4</v>
      </c>
      <c r="KN21" s="43">
        <v>2</v>
      </c>
      <c r="KO21" s="43">
        <v>0</v>
      </c>
    </row>
    <row r="22" spans="1:301" x14ac:dyDescent="0.4">
      <c r="A22" s="43">
        <v>18</v>
      </c>
      <c r="B22" s="43">
        <v>3</v>
      </c>
      <c r="C22" s="43">
        <v>1</v>
      </c>
      <c r="D22" s="43">
        <v>0</v>
      </c>
      <c r="E22" s="43">
        <v>4</v>
      </c>
      <c r="F22" s="43">
        <v>0</v>
      </c>
      <c r="G22" s="43">
        <v>1</v>
      </c>
      <c r="H22" s="43">
        <v>2</v>
      </c>
      <c r="I22" s="43">
        <v>1</v>
      </c>
      <c r="J22" s="43">
        <v>0</v>
      </c>
      <c r="K22" s="43">
        <v>2</v>
      </c>
      <c r="L22" s="43">
        <v>1</v>
      </c>
      <c r="M22" s="43">
        <v>0</v>
      </c>
      <c r="N22" s="43">
        <v>2</v>
      </c>
      <c r="O22" s="43">
        <v>0</v>
      </c>
      <c r="P22" s="43">
        <v>0</v>
      </c>
      <c r="Q22" s="43">
        <v>1</v>
      </c>
      <c r="R22" s="43">
        <v>1</v>
      </c>
      <c r="S22" s="43">
        <v>0</v>
      </c>
      <c r="T22" s="43">
        <v>2</v>
      </c>
      <c r="U22" s="43">
        <v>0</v>
      </c>
      <c r="V22" s="43">
        <v>0</v>
      </c>
      <c r="W22" s="43">
        <v>3</v>
      </c>
      <c r="X22" s="43">
        <v>0</v>
      </c>
      <c r="Y22" s="43">
        <v>1</v>
      </c>
      <c r="Z22" s="43">
        <v>2</v>
      </c>
      <c r="AA22" s="43">
        <v>1</v>
      </c>
      <c r="AB22" s="43">
        <v>1</v>
      </c>
      <c r="AC22" s="43">
        <v>2</v>
      </c>
      <c r="AD22" s="43">
        <v>0</v>
      </c>
      <c r="AE22" s="43">
        <v>1</v>
      </c>
      <c r="AF22" s="43">
        <v>1</v>
      </c>
      <c r="AG22" s="43">
        <v>0</v>
      </c>
      <c r="AH22" s="43">
        <v>1</v>
      </c>
      <c r="AI22" s="43">
        <v>1</v>
      </c>
      <c r="AJ22" s="43">
        <v>1</v>
      </c>
      <c r="AK22" s="43">
        <v>0</v>
      </c>
      <c r="AL22" s="43">
        <v>1</v>
      </c>
      <c r="AM22" s="43">
        <v>0</v>
      </c>
      <c r="AN22" s="43">
        <v>0</v>
      </c>
      <c r="AO22" s="43">
        <v>3</v>
      </c>
      <c r="AP22" s="43">
        <v>1</v>
      </c>
      <c r="AQ22" s="43">
        <v>1</v>
      </c>
      <c r="AR22" s="43">
        <v>4</v>
      </c>
      <c r="AS22" s="43">
        <v>0</v>
      </c>
      <c r="AT22" s="43">
        <v>0</v>
      </c>
      <c r="AU22" s="43">
        <v>4</v>
      </c>
      <c r="AV22" s="43">
        <v>2</v>
      </c>
      <c r="AW22" s="43">
        <v>0</v>
      </c>
      <c r="AX22" s="43">
        <v>1</v>
      </c>
      <c r="AY22" s="43">
        <v>1</v>
      </c>
      <c r="AZ22" s="43">
        <v>1</v>
      </c>
      <c r="BA22" s="43">
        <v>2</v>
      </c>
      <c r="BB22" s="43">
        <v>1</v>
      </c>
      <c r="BC22" s="43">
        <v>1</v>
      </c>
      <c r="BD22" s="43">
        <v>3</v>
      </c>
      <c r="BE22" s="43">
        <v>1</v>
      </c>
      <c r="BF22" s="43">
        <v>0</v>
      </c>
      <c r="BG22" s="43">
        <v>3</v>
      </c>
      <c r="BH22" s="43">
        <v>1</v>
      </c>
      <c r="BI22" s="43">
        <v>1</v>
      </c>
      <c r="BJ22" s="43">
        <v>3</v>
      </c>
      <c r="BK22" s="43">
        <v>1</v>
      </c>
      <c r="BL22" s="43">
        <v>0</v>
      </c>
      <c r="BM22" s="43">
        <v>0</v>
      </c>
      <c r="BN22" s="43">
        <v>1</v>
      </c>
      <c r="BO22" s="43">
        <v>2</v>
      </c>
      <c r="BP22" s="43">
        <v>3</v>
      </c>
      <c r="BQ22" s="43">
        <v>1</v>
      </c>
      <c r="BR22" s="43">
        <v>0</v>
      </c>
      <c r="BS22" s="43">
        <v>3</v>
      </c>
      <c r="BT22" s="43">
        <v>0</v>
      </c>
      <c r="BU22" s="43">
        <v>0</v>
      </c>
      <c r="BV22" s="43">
        <v>2</v>
      </c>
      <c r="BW22" s="43">
        <v>1</v>
      </c>
      <c r="BX22" s="43">
        <v>1</v>
      </c>
      <c r="BY22" s="43">
        <v>1</v>
      </c>
      <c r="BZ22" s="43">
        <v>0</v>
      </c>
      <c r="CA22" s="43">
        <v>1</v>
      </c>
      <c r="CB22" s="43">
        <v>1</v>
      </c>
      <c r="CC22" s="43">
        <v>0</v>
      </c>
      <c r="CD22" s="43">
        <v>0</v>
      </c>
      <c r="CE22" s="43">
        <v>4</v>
      </c>
      <c r="CF22" s="43">
        <v>1</v>
      </c>
      <c r="CG22" s="43">
        <v>1</v>
      </c>
      <c r="CH22" s="43">
        <v>2</v>
      </c>
      <c r="CI22" s="43">
        <v>0</v>
      </c>
      <c r="CJ22" s="43">
        <v>2</v>
      </c>
      <c r="CK22" s="43">
        <v>3</v>
      </c>
      <c r="CL22" s="43">
        <v>0</v>
      </c>
      <c r="CM22" s="43">
        <v>1</v>
      </c>
      <c r="CN22" s="43">
        <v>0</v>
      </c>
      <c r="CO22" s="43">
        <v>1</v>
      </c>
      <c r="CP22" s="43">
        <v>2</v>
      </c>
      <c r="CQ22" s="43">
        <v>3</v>
      </c>
      <c r="CR22" s="43">
        <v>0</v>
      </c>
      <c r="CS22" s="43">
        <v>3</v>
      </c>
      <c r="CT22" s="43">
        <v>3</v>
      </c>
      <c r="CU22" s="43">
        <v>0</v>
      </c>
      <c r="CV22" s="43">
        <v>0</v>
      </c>
      <c r="CW22" s="43">
        <v>1</v>
      </c>
      <c r="CX22" s="43">
        <v>0</v>
      </c>
      <c r="CY22" s="43">
        <v>0</v>
      </c>
      <c r="CZ22" s="43">
        <v>2</v>
      </c>
      <c r="DA22" s="43">
        <v>1</v>
      </c>
      <c r="DB22" s="43">
        <v>0</v>
      </c>
      <c r="DC22" s="43">
        <v>3</v>
      </c>
      <c r="DD22" s="43">
        <v>0</v>
      </c>
      <c r="DE22" s="43">
        <v>1</v>
      </c>
      <c r="DF22" s="43">
        <v>2</v>
      </c>
      <c r="DG22" s="43">
        <v>1</v>
      </c>
      <c r="DH22" s="43">
        <v>0</v>
      </c>
      <c r="DI22" s="43">
        <v>3</v>
      </c>
      <c r="DJ22" s="43">
        <v>1</v>
      </c>
      <c r="DK22" s="43">
        <v>1</v>
      </c>
      <c r="DL22" s="43">
        <v>3</v>
      </c>
      <c r="DM22" s="43">
        <v>0</v>
      </c>
      <c r="DN22" s="43">
        <v>1</v>
      </c>
      <c r="DO22" s="43">
        <v>1</v>
      </c>
      <c r="DP22" s="43">
        <v>1</v>
      </c>
      <c r="DQ22" s="43">
        <v>2</v>
      </c>
      <c r="DR22" s="43">
        <v>3</v>
      </c>
      <c r="DS22" s="43">
        <v>3</v>
      </c>
      <c r="DT22" s="43">
        <v>2</v>
      </c>
      <c r="DU22" s="43">
        <v>2</v>
      </c>
      <c r="DV22" s="43">
        <v>1</v>
      </c>
      <c r="DW22" s="43">
        <v>1</v>
      </c>
      <c r="DX22" s="43">
        <v>2</v>
      </c>
      <c r="DY22" s="43">
        <v>2</v>
      </c>
      <c r="DZ22" s="43">
        <v>2</v>
      </c>
      <c r="EA22" s="43">
        <v>1</v>
      </c>
      <c r="EB22" s="43">
        <v>0</v>
      </c>
      <c r="EC22" s="43">
        <v>2</v>
      </c>
      <c r="ED22" s="43">
        <v>4</v>
      </c>
      <c r="EE22" s="43">
        <v>0</v>
      </c>
      <c r="EF22" s="43">
        <v>0</v>
      </c>
      <c r="EG22" s="43">
        <v>3</v>
      </c>
      <c r="EH22" s="43">
        <v>2</v>
      </c>
      <c r="EI22" s="43">
        <v>2</v>
      </c>
      <c r="EJ22" s="43">
        <v>3</v>
      </c>
      <c r="EK22" s="43">
        <v>1</v>
      </c>
      <c r="EL22" s="43">
        <v>1</v>
      </c>
      <c r="EM22" s="43">
        <v>1</v>
      </c>
      <c r="EN22" s="43">
        <v>1</v>
      </c>
      <c r="EO22" s="43">
        <v>0</v>
      </c>
      <c r="EP22" s="43">
        <v>3</v>
      </c>
      <c r="EQ22" s="43">
        <v>0</v>
      </c>
      <c r="ER22" s="43">
        <v>1</v>
      </c>
      <c r="ES22" s="43">
        <v>2</v>
      </c>
      <c r="ET22" s="43">
        <v>0</v>
      </c>
      <c r="EU22" s="43">
        <v>0</v>
      </c>
      <c r="EV22" s="43">
        <v>4</v>
      </c>
      <c r="EW22" s="43">
        <v>0</v>
      </c>
      <c r="EX22" s="43">
        <v>1</v>
      </c>
      <c r="EY22" s="43">
        <v>3</v>
      </c>
      <c r="EZ22" s="43">
        <v>0</v>
      </c>
      <c r="FA22" s="43">
        <v>0</v>
      </c>
      <c r="FB22" s="43">
        <v>2</v>
      </c>
      <c r="FC22" s="43">
        <v>0</v>
      </c>
      <c r="FD22" s="43">
        <v>0</v>
      </c>
      <c r="FE22" s="43">
        <v>2</v>
      </c>
      <c r="FF22" s="43">
        <v>0</v>
      </c>
      <c r="FG22" s="43">
        <v>0</v>
      </c>
      <c r="FH22" s="43">
        <v>0</v>
      </c>
      <c r="FI22" s="43">
        <v>2</v>
      </c>
      <c r="FJ22" s="43">
        <v>2</v>
      </c>
      <c r="FK22" s="43">
        <v>2</v>
      </c>
      <c r="FL22" s="43">
        <v>1</v>
      </c>
      <c r="FM22" s="43">
        <v>0</v>
      </c>
      <c r="FN22" s="43">
        <v>4</v>
      </c>
      <c r="FO22" s="43">
        <v>1</v>
      </c>
      <c r="FP22" s="43">
        <v>0</v>
      </c>
      <c r="FQ22" s="43">
        <v>2</v>
      </c>
      <c r="FR22" s="43">
        <v>1</v>
      </c>
      <c r="FS22" s="43">
        <v>0</v>
      </c>
      <c r="FT22" s="43">
        <v>4</v>
      </c>
      <c r="FU22" s="43">
        <v>3</v>
      </c>
      <c r="FV22" s="43">
        <v>0</v>
      </c>
      <c r="FW22" s="43">
        <v>3</v>
      </c>
      <c r="FX22" s="43">
        <v>1</v>
      </c>
      <c r="FY22" s="43">
        <v>0</v>
      </c>
      <c r="FZ22" s="43">
        <v>3</v>
      </c>
      <c r="GA22" s="43">
        <v>2</v>
      </c>
      <c r="GB22" s="43">
        <v>0</v>
      </c>
      <c r="GC22" s="43">
        <v>2</v>
      </c>
      <c r="GD22" s="43">
        <v>0</v>
      </c>
      <c r="GE22" s="43">
        <v>1</v>
      </c>
      <c r="GF22" s="43">
        <v>3</v>
      </c>
      <c r="GG22" s="43">
        <v>0</v>
      </c>
      <c r="GH22" s="43">
        <v>0</v>
      </c>
      <c r="GI22" s="43">
        <v>3</v>
      </c>
      <c r="GJ22" s="43">
        <v>0</v>
      </c>
      <c r="GK22" s="43">
        <v>1</v>
      </c>
      <c r="GL22" s="43">
        <v>2</v>
      </c>
      <c r="GM22" s="43">
        <v>1</v>
      </c>
      <c r="GN22" s="43">
        <v>0</v>
      </c>
      <c r="GO22" s="43">
        <v>3</v>
      </c>
      <c r="GP22" s="43">
        <v>0</v>
      </c>
      <c r="GQ22" s="43">
        <v>1</v>
      </c>
      <c r="GR22" s="43">
        <v>2</v>
      </c>
      <c r="GS22" s="43">
        <v>2</v>
      </c>
      <c r="GT22" s="43">
        <v>0</v>
      </c>
      <c r="GU22" s="43">
        <v>2</v>
      </c>
      <c r="GV22" s="43">
        <v>0</v>
      </c>
      <c r="GW22" s="43">
        <v>0</v>
      </c>
      <c r="GX22" s="43">
        <v>2</v>
      </c>
      <c r="GY22" s="43">
        <v>2</v>
      </c>
      <c r="GZ22" s="43">
        <v>0</v>
      </c>
      <c r="HA22" s="43">
        <v>3</v>
      </c>
      <c r="HB22" s="43">
        <v>0</v>
      </c>
      <c r="HC22" s="43">
        <v>1</v>
      </c>
      <c r="HD22" s="43">
        <v>0</v>
      </c>
      <c r="HE22" s="43">
        <v>0</v>
      </c>
      <c r="HF22" s="43">
        <v>0</v>
      </c>
      <c r="HG22" s="43">
        <v>2</v>
      </c>
      <c r="HH22" s="43">
        <v>0</v>
      </c>
      <c r="HI22" s="43">
        <v>1</v>
      </c>
      <c r="HJ22" s="43">
        <v>2</v>
      </c>
      <c r="HK22" s="43">
        <v>2</v>
      </c>
      <c r="HL22" s="43">
        <v>0</v>
      </c>
      <c r="HM22" s="43">
        <v>1</v>
      </c>
      <c r="HN22" s="43">
        <v>0</v>
      </c>
      <c r="HO22" s="43">
        <v>0</v>
      </c>
      <c r="HP22" s="43">
        <v>2</v>
      </c>
      <c r="HQ22" s="43">
        <v>1</v>
      </c>
      <c r="HR22" s="43">
        <v>0</v>
      </c>
      <c r="HS22" s="43">
        <v>4</v>
      </c>
      <c r="HT22" s="43">
        <v>2</v>
      </c>
      <c r="HU22" s="43">
        <v>0</v>
      </c>
      <c r="HV22" s="43">
        <v>3</v>
      </c>
      <c r="HW22" s="43">
        <v>1</v>
      </c>
      <c r="HX22" s="43">
        <v>0</v>
      </c>
      <c r="HY22" s="43">
        <v>1</v>
      </c>
      <c r="HZ22" s="43">
        <v>2</v>
      </c>
      <c r="IA22" s="43">
        <v>0</v>
      </c>
      <c r="IB22" s="43">
        <v>3</v>
      </c>
      <c r="IC22" s="43">
        <v>1</v>
      </c>
      <c r="ID22" s="43">
        <v>1</v>
      </c>
      <c r="IE22" s="43">
        <v>2</v>
      </c>
      <c r="IF22" s="43">
        <v>0</v>
      </c>
      <c r="IG22" s="43">
        <v>3</v>
      </c>
      <c r="IH22" s="43">
        <v>3</v>
      </c>
      <c r="II22" s="43">
        <v>1</v>
      </c>
      <c r="IJ22" s="43">
        <v>1</v>
      </c>
      <c r="IK22" s="43">
        <v>3</v>
      </c>
      <c r="IL22" s="43">
        <v>1</v>
      </c>
      <c r="IM22" s="43">
        <v>2</v>
      </c>
      <c r="IN22" s="43">
        <v>2</v>
      </c>
      <c r="IO22" s="43">
        <v>1</v>
      </c>
      <c r="IP22" s="43">
        <v>0</v>
      </c>
      <c r="IQ22" s="43">
        <v>2</v>
      </c>
      <c r="IR22" s="43">
        <v>1</v>
      </c>
      <c r="IS22" s="43">
        <v>1</v>
      </c>
      <c r="IT22" s="43">
        <v>0</v>
      </c>
      <c r="IU22" s="43">
        <v>2</v>
      </c>
      <c r="IV22" s="43">
        <v>1</v>
      </c>
      <c r="IW22" s="43">
        <v>3</v>
      </c>
      <c r="IX22" s="43">
        <v>1</v>
      </c>
      <c r="IY22" s="43">
        <v>3</v>
      </c>
      <c r="IZ22" s="43">
        <v>1</v>
      </c>
      <c r="JA22" s="43">
        <v>1</v>
      </c>
      <c r="JB22" s="43">
        <v>1</v>
      </c>
      <c r="JC22" s="43">
        <v>2</v>
      </c>
      <c r="JD22" s="43">
        <v>2</v>
      </c>
      <c r="JE22" s="43">
        <v>1</v>
      </c>
      <c r="JF22" s="43">
        <v>2</v>
      </c>
      <c r="JG22" s="43">
        <v>0</v>
      </c>
      <c r="JH22" s="43">
        <v>1</v>
      </c>
      <c r="JI22" s="43">
        <v>3</v>
      </c>
      <c r="JJ22" s="43">
        <v>0</v>
      </c>
      <c r="JK22" s="43">
        <v>1</v>
      </c>
      <c r="JL22" s="43">
        <v>4</v>
      </c>
      <c r="JM22" s="43">
        <v>0</v>
      </c>
      <c r="JN22" s="43">
        <v>1</v>
      </c>
      <c r="JO22" s="43">
        <v>2</v>
      </c>
      <c r="JP22" s="43">
        <v>0</v>
      </c>
      <c r="JQ22" s="43">
        <v>1</v>
      </c>
      <c r="JR22" s="43">
        <v>1</v>
      </c>
      <c r="JS22" s="43">
        <v>1</v>
      </c>
      <c r="JT22" s="43">
        <v>0</v>
      </c>
      <c r="JU22" s="43">
        <v>1</v>
      </c>
      <c r="JV22" s="43">
        <v>0</v>
      </c>
      <c r="JW22" s="43">
        <v>2</v>
      </c>
      <c r="JX22" s="43">
        <v>3</v>
      </c>
      <c r="JY22" s="43">
        <v>1</v>
      </c>
      <c r="JZ22" s="43">
        <v>1</v>
      </c>
      <c r="KA22" s="43">
        <v>1</v>
      </c>
      <c r="KB22" s="43">
        <v>0</v>
      </c>
      <c r="KC22" s="43">
        <v>0</v>
      </c>
      <c r="KD22" s="43">
        <v>3</v>
      </c>
      <c r="KE22" s="43">
        <v>2</v>
      </c>
      <c r="KF22" s="43">
        <v>0</v>
      </c>
      <c r="KG22" s="43">
        <v>2</v>
      </c>
      <c r="KH22" s="43">
        <v>1</v>
      </c>
      <c r="KI22" s="43">
        <v>2</v>
      </c>
      <c r="KJ22" s="43">
        <v>2</v>
      </c>
      <c r="KK22" s="43">
        <v>1</v>
      </c>
      <c r="KL22" s="43">
        <v>1</v>
      </c>
      <c r="KM22" s="43">
        <v>2</v>
      </c>
      <c r="KN22" s="43">
        <v>2</v>
      </c>
      <c r="KO22" s="43">
        <v>3</v>
      </c>
    </row>
    <row r="23" spans="1:301" x14ac:dyDescent="0.4">
      <c r="A23" s="43">
        <v>19</v>
      </c>
      <c r="B23" s="43">
        <v>4</v>
      </c>
      <c r="C23" s="43">
        <v>1</v>
      </c>
      <c r="D23" s="43">
        <v>0</v>
      </c>
      <c r="E23" s="43">
        <v>4</v>
      </c>
      <c r="F23" s="43">
        <v>2</v>
      </c>
      <c r="G23" s="43">
        <v>0</v>
      </c>
      <c r="H23" s="43">
        <v>3</v>
      </c>
      <c r="I23" s="43">
        <v>1</v>
      </c>
      <c r="J23" s="43">
        <v>0</v>
      </c>
      <c r="K23" s="43">
        <v>2</v>
      </c>
      <c r="L23" s="43">
        <v>2</v>
      </c>
      <c r="M23" s="43">
        <v>2</v>
      </c>
      <c r="N23" s="43">
        <v>4</v>
      </c>
      <c r="O23" s="43">
        <v>0</v>
      </c>
      <c r="P23" s="43">
        <v>2</v>
      </c>
      <c r="Q23" s="43">
        <v>2</v>
      </c>
      <c r="R23" s="43">
        <v>0</v>
      </c>
      <c r="S23" s="43">
        <v>1</v>
      </c>
      <c r="T23" s="43">
        <v>1</v>
      </c>
      <c r="U23" s="43">
        <v>2</v>
      </c>
      <c r="V23" s="43">
        <v>1</v>
      </c>
      <c r="W23" s="43">
        <v>4</v>
      </c>
      <c r="X23" s="43">
        <v>1</v>
      </c>
      <c r="Y23" s="43">
        <v>0</v>
      </c>
      <c r="Z23" s="43">
        <v>4</v>
      </c>
      <c r="AA23" s="43">
        <v>0</v>
      </c>
      <c r="AB23" s="43">
        <v>0</v>
      </c>
      <c r="AC23" s="43">
        <v>3</v>
      </c>
      <c r="AD23" s="43">
        <v>1</v>
      </c>
      <c r="AE23" s="43">
        <v>0</v>
      </c>
      <c r="AF23" s="43">
        <v>2</v>
      </c>
      <c r="AG23" s="43">
        <v>1</v>
      </c>
      <c r="AH23" s="43">
        <v>0</v>
      </c>
      <c r="AI23" s="43">
        <v>3</v>
      </c>
      <c r="AJ23" s="43">
        <v>1</v>
      </c>
      <c r="AK23" s="43">
        <v>1</v>
      </c>
      <c r="AL23" s="43">
        <v>0</v>
      </c>
      <c r="AM23" s="43">
        <v>1</v>
      </c>
      <c r="AN23" s="43">
        <v>1</v>
      </c>
      <c r="AO23" s="43">
        <v>3</v>
      </c>
      <c r="AP23" s="43">
        <v>2</v>
      </c>
      <c r="AQ23" s="43">
        <v>0</v>
      </c>
      <c r="AR23" s="43">
        <v>2</v>
      </c>
      <c r="AS23" s="43">
        <v>2</v>
      </c>
      <c r="AT23" s="43">
        <v>1</v>
      </c>
      <c r="AU23" s="43">
        <v>3</v>
      </c>
      <c r="AV23" s="43">
        <v>1</v>
      </c>
      <c r="AW23" s="43">
        <v>1</v>
      </c>
      <c r="AX23" s="43">
        <v>4</v>
      </c>
      <c r="AY23" s="43">
        <v>2</v>
      </c>
      <c r="AZ23" s="43">
        <v>0</v>
      </c>
      <c r="BA23" s="43">
        <v>2</v>
      </c>
      <c r="BB23" s="43">
        <v>0</v>
      </c>
      <c r="BC23" s="43">
        <v>1</v>
      </c>
      <c r="BD23" s="43">
        <v>1</v>
      </c>
      <c r="BE23" s="43">
        <v>2</v>
      </c>
      <c r="BF23" s="43">
        <v>1</v>
      </c>
      <c r="BG23" s="43">
        <v>1</v>
      </c>
      <c r="BH23" s="43">
        <v>0</v>
      </c>
      <c r="BI23" s="43">
        <v>0</v>
      </c>
      <c r="BJ23" s="43">
        <v>1</v>
      </c>
      <c r="BK23" s="43">
        <v>1</v>
      </c>
      <c r="BL23" s="43">
        <v>1</v>
      </c>
      <c r="BM23" s="43">
        <v>3</v>
      </c>
      <c r="BN23" s="43">
        <v>1</v>
      </c>
      <c r="BO23" s="43">
        <v>2</v>
      </c>
      <c r="BP23" s="43">
        <v>2</v>
      </c>
      <c r="BQ23" s="43">
        <v>1</v>
      </c>
      <c r="BR23" s="43">
        <v>0</v>
      </c>
      <c r="BS23" s="43">
        <v>2</v>
      </c>
      <c r="BT23" s="43">
        <v>0</v>
      </c>
      <c r="BU23" s="43">
        <v>0</v>
      </c>
      <c r="BV23" s="43">
        <v>3</v>
      </c>
      <c r="BW23" s="43">
        <v>0</v>
      </c>
      <c r="BX23" s="43">
        <v>0</v>
      </c>
      <c r="BY23" s="43">
        <v>2</v>
      </c>
      <c r="BZ23" s="43">
        <v>1</v>
      </c>
      <c r="CA23" s="43">
        <v>2</v>
      </c>
      <c r="CB23" s="43">
        <v>1</v>
      </c>
      <c r="CC23" s="43">
        <v>0</v>
      </c>
      <c r="CD23" s="43">
        <v>0</v>
      </c>
      <c r="CE23" s="43">
        <v>3</v>
      </c>
      <c r="CF23" s="43">
        <v>0</v>
      </c>
      <c r="CG23" s="43">
        <v>0</v>
      </c>
      <c r="CH23" s="43">
        <v>4</v>
      </c>
      <c r="CI23" s="43">
        <v>0</v>
      </c>
      <c r="CJ23" s="43">
        <v>0</v>
      </c>
      <c r="CK23" s="43">
        <v>3</v>
      </c>
      <c r="CL23" s="43">
        <v>1</v>
      </c>
      <c r="CM23" s="43">
        <v>0</v>
      </c>
      <c r="CN23" s="43">
        <v>3</v>
      </c>
      <c r="CO23" s="43">
        <v>0</v>
      </c>
      <c r="CP23" s="43">
        <v>2</v>
      </c>
      <c r="CQ23" s="43">
        <v>1</v>
      </c>
      <c r="CR23" s="43">
        <v>2</v>
      </c>
      <c r="CS23" s="43">
        <v>0</v>
      </c>
      <c r="CT23" s="43">
        <v>2</v>
      </c>
      <c r="CU23" s="43">
        <v>1</v>
      </c>
      <c r="CV23" s="43">
        <v>0</v>
      </c>
      <c r="CW23" s="43">
        <v>2</v>
      </c>
      <c r="CX23" s="43">
        <v>1</v>
      </c>
      <c r="CY23" s="43">
        <v>0</v>
      </c>
      <c r="CZ23" s="43">
        <v>2</v>
      </c>
      <c r="DA23" s="43">
        <v>0</v>
      </c>
      <c r="DB23" s="43">
        <v>0</v>
      </c>
      <c r="DC23" s="43">
        <v>2</v>
      </c>
      <c r="DD23" s="43">
        <v>2</v>
      </c>
      <c r="DE23" s="43">
        <v>1</v>
      </c>
      <c r="DF23" s="43">
        <v>1</v>
      </c>
      <c r="DG23" s="43">
        <v>1</v>
      </c>
      <c r="DH23" s="43">
        <v>2</v>
      </c>
      <c r="DI23" s="43">
        <v>3</v>
      </c>
      <c r="DJ23" s="43">
        <v>1</v>
      </c>
      <c r="DK23" s="43">
        <v>0</v>
      </c>
      <c r="DL23" s="43">
        <v>3</v>
      </c>
      <c r="DM23" s="43">
        <v>1</v>
      </c>
      <c r="DN23" s="43">
        <v>0</v>
      </c>
      <c r="DO23" s="43">
        <v>3</v>
      </c>
      <c r="DP23" s="43">
        <v>1</v>
      </c>
      <c r="DQ23" s="43">
        <v>0</v>
      </c>
      <c r="DR23" s="43">
        <v>1</v>
      </c>
      <c r="DS23" s="43">
        <v>0</v>
      </c>
      <c r="DT23" s="43">
        <v>0</v>
      </c>
      <c r="DU23" s="43">
        <v>3</v>
      </c>
      <c r="DV23" s="43">
        <v>2</v>
      </c>
      <c r="DW23" s="43">
        <v>1</v>
      </c>
      <c r="DX23" s="43">
        <v>1</v>
      </c>
      <c r="DY23" s="43">
        <v>0</v>
      </c>
      <c r="DZ23" s="43">
        <v>0</v>
      </c>
      <c r="EA23" s="43">
        <v>4</v>
      </c>
      <c r="EB23" s="43">
        <v>0</v>
      </c>
      <c r="EC23" s="43">
        <v>0</v>
      </c>
      <c r="ED23" s="43">
        <v>3</v>
      </c>
      <c r="EE23" s="43">
        <v>0</v>
      </c>
      <c r="EF23" s="43">
        <v>0</v>
      </c>
      <c r="EG23" s="43">
        <v>4</v>
      </c>
      <c r="EH23" s="43">
        <v>1</v>
      </c>
      <c r="EI23" s="43">
        <v>0</v>
      </c>
      <c r="EJ23" s="43">
        <v>3</v>
      </c>
      <c r="EK23" s="43">
        <v>1</v>
      </c>
      <c r="EL23" s="43">
        <v>2</v>
      </c>
      <c r="EM23" s="43">
        <v>1</v>
      </c>
      <c r="EN23" s="43">
        <v>0</v>
      </c>
      <c r="EO23" s="43">
        <v>1</v>
      </c>
      <c r="EP23" s="43">
        <v>1</v>
      </c>
      <c r="EQ23" s="43">
        <v>1</v>
      </c>
      <c r="ER23" s="43">
        <v>0</v>
      </c>
      <c r="ES23" s="43">
        <v>3</v>
      </c>
      <c r="ET23" s="43">
        <v>2</v>
      </c>
      <c r="EU23" s="43">
        <v>1</v>
      </c>
      <c r="EV23" s="43">
        <v>2</v>
      </c>
      <c r="EW23" s="43">
        <v>0</v>
      </c>
      <c r="EX23" s="43">
        <v>0</v>
      </c>
      <c r="EY23" s="43">
        <v>2</v>
      </c>
      <c r="EZ23" s="43">
        <v>1</v>
      </c>
      <c r="FA23" s="43">
        <v>0</v>
      </c>
      <c r="FB23" s="43">
        <v>2</v>
      </c>
      <c r="FC23" s="43">
        <v>3</v>
      </c>
      <c r="FD23" s="43">
        <v>1</v>
      </c>
      <c r="FE23" s="43">
        <v>2</v>
      </c>
      <c r="FF23" s="43">
        <v>0</v>
      </c>
      <c r="FG23" s="43">
        <v>0</v>
      </c>
      <c r="FH23" s="43">
        <v>2</v>
      </c>
      <c r="FI23" s="43">
        <v>1</v>
      </c>
      <c r="FJ23" s="43">
        <v>1</v>
      </c>
      <c r="FK23" s="43">
        <v>4</v>
      </c>
      <c r="FL23" s="43">
        <v>0</v>
      </c>
      <c r="FM23" s="43">
        <v>1</v>
      </c>
      <c r="FN23" s="43">
        <v>3</v>
      </c>
      <c r="FO23" s="43">
        <v>1</v>
      </c>
      <c r="FP23" s="43">
        <v>0</v>
      </c>
      <c r="FQ23" s="43">
        <v>2</v>
      </c>
      <c r="FR23" s="43">
        <v>1</v>
      </c>
      <c r="FS23" s="43">
        <v>1</v>
      </c>
      <c r="FT23" s="43">
        <v>1</v>
      </c>
      <c r="FU23" s="43">
        <v>2</v>
      </c>
      <c r="FV23" s="43">
        <v>0</v>
      </c>
      <c r="FW23" s="43">
        <v>3</v>
      </c>
      <c r="FX23" s="43">
        <v>0</v>
      </c>
      <c r="FY23" s="43">
        <v>0</v>
      </c>
      <c r="FZ23" s="43">
        <v>3</v>
      </c>
      <c r="GA23" s="43">
        <v>2</v>
      </c>
      <c r="GB23" s="43">
        <v>1</v>
      </c>
      <c r="GC23" s="43">
        <v>3</v>
      </c>
      <c r="GD23" s="43">
        <v>1</v>
      </c>
      <c r="GE23" s="43">
        <v>2</v>
      </c>
      <c r="GF23" s="43">
        <v>2</v>
      </c>
      <c r="GG23" s="43">
        <v>2</v>
      </c>
      <c r="GH23" s="43">
        <v>0</v>
      </c>
      <c r="GI23" s="43">
        <v>2</v>
      </c>
      <c r="GJ23" s="43">
        <v>0</v>
      </c>
      <c r="GK23" s="43">
        <v>0</v>
      </c>
      <c r="GL23" s="43">
        <v>2</v>
      </c>
      <c r="GM23" s="43">
        <v>0</v>
      </c>
      <c r="GN23" s="43">
        <v>0</v>
      </c>
      <c r="GO23" s="43">
        <v>2</v>
      </c>
      <c r="GP23" s="43">
        <v>1</v>
      </c>
      <c r="GQ23" s="43">
        <v>0</v>
      </c>
      <c r="GR23" s="43">
        <v>2</v>
      </c>
      <c r="GS23" s="43">
        <v>0</v>
      </c>
      <c r="GT23" s="43">
        <v>1</v>
      </c>
      <c r="GU23" s="43">
        <v>2</v>
      </c>
      <c r="GV23" s="43">
        <v>3</v>
      </c>
      <c r="GW23" s="43">
        <v>0</v>
      </c>
      <c r="GX23" s="43">
        <v>3</v>
      </c>
      <c r="GY23" s="43">
        <v>0</v>
      </c>
      <c r="GZ23" s="43">
        <v>3</v>
      </c>
      <c r="HA23" s="43">
        <v>4</v>
      </c>
      <c r="HB23" s="43">
        <v>1</v>
      </c>
      <c r="HC23" s="43">
        <v>0</v>
      </c>
      <c r="HD23" s="43">
        <v>2</v>
      </c>
      <c r="HE23" s="43">
        <v>2</v>
      </c>
      <c r="HF23" s="43">
        <v>1</v>
      </c>
      <c r="HG23" s="43">
        <v>3</v>
      </c>
      <c r="HH23" s="43">
        <v>0</v>
      </c>
      <c r="HI23" s="43">
        <v>1</v>
      </c>
      <c r="HJ23" s="43">
        <v>2</v>
      </c>
      <c r="HK23" s="43">
        <v>1</v>
      </c>
      <c r="HL23" s="43">
        <v>1</v>
      </c>
      <c r="HM23" s="43">
        <v>4</v>
      </c>
      <c r="HN23" s="43">
        <v>1</v>
      </c>
      <c r="HO23" s="43">
        <v>2</v>
      </c>
      <c r="HP23" s="43">
        <v>2</v>
      </c>
      <c r="HQ23" s="43">
        <v>1</v>
      </c>
      <c r="HR23" s="43">
        <v>1</v>
      </c>
      <c r="HS23" s="43">
        <v>3</v>
      </c>
      <c r="HT23" s="43">
        <v>1</v>
      </c>
      <c r="HU23" s="43">
        <v>1</v>
      </c>
      <c r="HV23" s="43">
        <v>3</v>
      </c>
      <c r="HW23" s="43">
        <v>2</v>
      </c>
      <c r="HX23" s="43">
        <v>1</v>
      </c>
      <c r="HY23" s="43">
        <v>3</v>
      </c>
      <c r="HZ23" s="43">
        <v>2</v>
      </c>
      <c r="IA23" s="43">
        <v>0</v>
      </c>
      <c r="IB23" s="43">
        <v>3</v>
      </c>
      <c r="IC23" s="43">
        <v>1</v>
      </c>
      <c r="ID23" s="43">
        <v>0</v>
      </c>
      <c r="IE23" s="43">
        <v>3</v>
      </c>
      <c r="IF23" s="43">
        <v>0</v>
      </c>
      <c r="IG23" s="43">
        <v>0</v>
      </c>
      <c r="IH23" s="43">
        <v>3</v>
      </c>
      <c r="II23" s="43">
        <v>3</v>
      </c>
      <c r="IJ23" s="43">
        <v>0</v>
      </c>
      <c r="IK23" s="43">
        <v>2</v>
      </c>
      <c r="IL23" s="43">
        <v>0</v>
      </c>
      <c r="IM23" s="43">
        <v>1</v>
      </c>
      <c r="IN23" s="43">
        <v>2</v>
      </c>
      <c r="IO23" s="43">
        <v>1</v>
      </c>
      <c r="IP23" s="43">
        <v>1</v>
      </c>
      <c r="IQ23" s="43">
        <v>2</v>
      </c>
      <c r="IR23" s="43">
        <v>1</v>
      </c>
      <c r="IS23" s="43">
        <v>1</v>
      </c>
      <c r="IT23" s="43">
        <v>3</v>
      </c>
      <c r="IU23" s="43">
        <v>0</v>
      </c>
      <c r="IV23" s="43">
        <v>1</v>
      </c>
      <c r="IW23" s="43">
        <v>1</v>
      </c>
      <c r="IX23" s="43">
        <v>0</v>
      </c>
      <c r="IY23" s="43">
        <v>0</v>
      </c>
      <c r="IZ23" s="43">
        <v>1</v>
      </c>
      <c r="JA23" s="43">
        <v>1</v>
      </c>
      <c r="JB23" s="43">
        <v>0</v>
      </c>
      <c r="JC23" s="43">
        <v>2</v>
      </c>
      <c r="JD23" s="43">
        <v>0</v>
      </c>
      <c r="JE23" s="43">
        <v>2</v>
      </c>
      <c r="JF23" s="43">
        <v>1</v>
      </c>
      <c r="JG23" s="43">
        <v>1</v>
      </c>
      <c r="JH23" s="43">
        <v>1</v>
      </c>
      <c r="JI23" s="43">
        <v>4</v>
      </c>
      <c r="JJ23" s="43">
        <v>1</v>
      </c>
      <c r="JK23" s="43">
        <v>1</v>
      </c>
      <c r="JL23" s="43">
        <v>3</v>
      </c>
      <c r="JM23" s="43">
        <v>2</v>
      </c>
      <c r="JN23" s="43">
        <v>1</v>
      </c>
      <c r="JO23" s="43">
        <v>0</v>
      </c>
      <c r="JP23" s="43">
        <v>0</v>
      </c>
      <c r="JQ23" s="43">
        <v>0</v>
      </c>
      <c r="JR23" s="43">
        <v>1</v>
      </c>
      <c r="JS23" s="43">
        <v>1</v>
      </c>
      <c r="JT23" s="43">
        <v>1</v>
      </c>
      <c r="JU23" s="43">
        <v>2</v>
      </c>
      <c r="JV23" s="43">
        <v>1</v>
      </c>
      <c r="JW23" s="43">
        <v>0</v>
      </c>
      <c r="JX23" s="43">
        <v>4</v>
      </c>
      <c r="JY23" s="43">
        <v>0</v>
      </c>
      <c r="JZ23" s="43">
        <v>0</v>
      </c>
      <c r="KA23" s="43">
        <v>4</v>
      </c>
      <c r="KB23" s="43">
        <v>1</v>
      </c>
      <c r="KC23" s="43">
        <v>0</v>
      </c>
      <c r="KD23" s="43">
        <v>2</v>
      </c>
      <c r="KE23" s="43">
        <v>3</v>
      </c>
      <c r="KF23" s="43">
        <v>0</v>
      </c>
      <c r="KG23" s="43">
        <v>3</v>
      </c>
      <c r="KH23" s="43">
        <v>2</v>
      </c>
      <c r="KI23" s="43">
        <v>1</v>
      </c>
      <c r="KJ23" s="43">
        <v>3</v>
      </c>
      <c r="KK23" s="43">
        <v>1</v>
      </c>
      <c r="KL23" s="43">
        <v>0</v>
      </c>
      <c r="KM23" s="43">
        <v>3</v>
      </c>
      <c r="KN23" s="43">
        <v>0</v>
      </c>
      <c r="KO23" s="43">
        <v>0</v>
      </c>
    </row>
    <row r="24" spans="1:301" x14ac:dyDescent="0.4">
      <c r="A24" s="43">
        <v>20</v>
      </c>
      <c r="B24" s="43">
        <v>1</v>
      </c>
      <c r="C24" s="43">
        <v>3</v>
      </c>
      <c r="D24" s="43">
        <v>1</v>
      </c>
      <c r="E24" s="43">
        <v>2</v>
      </c>
      <c r="F24" s="43">
        <v>0</v>
      </c>
      <c r="G24" s="43">
        <v>0</v>
      </c>
      <c r="H24" s="43">
        <v>3</v>
      </c>
      <c r="I24" s="43">
        <v>0</v>
      </c>
      <c r="J24" s="43">
        <v>1</v>
      </c>
      <c r="K24" s="43">
        <v>2</v>
      </c>
      <c r="L24" s="43">
        <v>1</v>
      </c>
      <c r="M24" s="43">
        <v>0</v>
      </c>
      <c r="N24" s="43">
        <v>3</v>
      </c>
      <c r="O24" s="43">
        <v>1</v>
      </c>
      <c r="P24" s="43">
        <v>0</v>
      </c>
      <c r="Q24" s="43">
        <v>3</v>
      </c>
      <c r="R24" s="43">
        <v>0</v>
      </c>
      <c r="S24" s="43">
        <v>1</v>
      </c>
      <c r="T24" s="43">
        <v>3</v>
      </c>
      <c r="U24" s="43">
        <v>1</v>
      </c>
      <c r="V24" s="43">
        <v>2</v>
      </c>
      <c r="W24" s="43">
        <v>2</v>
      </c>
      <c r="X24" s="43">
        <v>0</v>
      </c>
      <c r="Y24" s="43">
        <v>2</v>
      </c>
      <c r="Z24" s="43">
        <v>2</v>
      </c>
      <c r="AA24" s="43">
        <v>2</v>
      </c>
      <c r="AB24" s="43">
        <v>0</v>
      </c>
      <c r="AC24" s="43">
        <v>3</v>
      </c>
      <c r="AD24" s="43">
        <v>1</v>
      </c>
      <c r="AE24" s="43">
        <v>0</v>
      </c>
      <c r="AF24" s="43">
        <v>3</v>
      </c>
      <c r="AG24" s="43">
        <v>1</v>
      </c>
      <c r="AH24" s="43">
        <v>0</v>
      </c>
      <c r="AI24" s="43">
        <v>2</v>
      </c>
      <c r="AJ24" s="43">
        <v>1</v>
      </c>
      <c r="AK24" s="43">
        <v>1</v>
      </c>
      <c r="AL24" s="43">
        <v>2</v>
      </c>
      <c r="AM24" s="43">
        <v>2</v>
      </c>
      <c r="AN24" s="43">
        <v>0</v>
      </c>
      <c r="AO24" s="43">
        <v>2</v>
      </c>
      <c r="AP24" s="43">
        <v>2</v>
      </c>
      <c r="AQ24" s="43">
        <v>1</v>
      </c>
      <c r="AR24" s="43">
        <v>3</v>
      </c>
      <c r="AS24" s="43">
        <v>1</v>
      </c>
      <c r="AT24" s="43">
        <v>0</v>
      </c>
      <c r="AU24" s="43">
        <v>4</v>
      </c>
      <c r="AV24" s="43">
        <v>2</v>
      </c>
      <c r="AW24" s="43">
        <v>1</v>
      </c>
      <c r="AX24" s="43">
        <v>4</v>
      </c>
      <c r="AY24" s="43">
        <v>0</v>
      </c>
      <c r="AZ24" s="43">
        <v>0</v>
      </c>
      <c r="BA24" s="43">
        <v>3</v>
      </c>
      <c r="BB24" s="43">
        <v>2</v>
      </c>
      <c r="BC24" s="43">
        <v>0</v>
      </c>
      <c r="BD24" s="43">
        <v>4</v>
      </c>
      <c r="BE24" s="43">
        <v>1</v>
      </c>
      <c r="BF24" s="43">
        <v>2</v>
      </c>
      <c r="BG24" s="43">
        <v>2</v>
      </c>
      <c r="BH24" s="43">
        <v>1</v>
      </c>
      <c r="BI24" s="43">
        <v>2</v>
      </c>
      <c r="BJ24" s="43">
        <v>3</v>
      </c>
      <c r="BK24" s="43">
        <v>1</v>
      </c>
      <c r="BL24" s="43">
        <v>1</v>
      </c>
      <c r="BM24" s="43">
        <v>3</v>
      </c>
      <c r="BN24" s="43">
        <v>0</v>
      </c>
      <c r="BO24" s="43">
        <v>0</v>
      </c>
      <c r="BP24" s="43">
        <v>2</v>
      </c>
      <c r="BQ24" s="43">
        <v>1</v>
      </c>
      <c r="BR24" s="43">
        <v>1</v>
      </c>
      <c r="BS24" s="43">
        <v>3</v>
      </c>
      <c r="BT24" s="43">
        <v>1</v>
      </c>
      <c r="BU24" s="43">
        <v>1</v>
      </c>
      <c r="BV24" s="43">
        <v>1</v>
      </c>
      <c r="BW24" s="43">
        <v>0</v>
      </c>
      <c r="BX24" s="43">
        <v>0</v>
      </c>
      <c r="BY24" s="43">
        <v>3</v>
      </c>
      <c r="BZ24" s="43">
        <v>3</v>
      </c>
      <c r="CA24" s="43">
        <v>0</v>
      </c>
      <c r="CB24" s="43">
        <v>3</v>
      </c>
      <c r="CC24" s="43">
        <v>0</v>
      </c>
      <c r="CD24" s="43">
        <v>0</v>
      </c>
      <c r="CE24" s="43">
        <v>2</v>
      </c>
      <c r="CF24" s="43">
        <v>1</v>
      </c>
      <c r="CG24" s="43">
        <v>1</v>
      </c>
      <c r="CH24" s="43">
        <v>3</v>
      </c>
      <c r="CI24" s="43">
        <v>1</v>
      </c>
      <c r="CJ24" s="43">
        <v>0</v>
      </c>
      <c r="CK24" s="43">
        <v>3</v>
      </c>
      <c r="CL24" s="43">
        <v>0</v>
      </c>
      <c r="CM24" s="43">
        <v>2</v>
      </c>
      <c r="CN24" s="43">
        <v>4</v>
      </c>
      <c r="CO24" s="43">
        <v>1</v>
      </c>
      <c r="CP24" s="43">
        <v>0</v>
      </c>
      <c r="CQ24" s="43">
        <v>2</v>
      </c>
      <c r="CR24" s="43">
        <v>3</v>
      </c>
      <c r="CS24" s="43">
        <v>0</v>
      </c>
      <c r="CT24" s="43">
        <v>1</v>
      </c>
      <c r="CU24" s="43">
        <v>2</v>
      </c>
      <c r="CV24" s="43">
        <v>2</v>
      </c>
      <c r="CW24" s="43">
        <v>1</v>
      </c>
      <c r="CX24" s="43">
        <v>1</v>
      </c>
      <c r="CY24" s="43">
        <v>2</v>
      </c>
      <c r="CZ24" s="43">
        <v>4</v>
      </c>
      <c r="DA24" s="43">
        <v>0</v>
      </c>
      <c r="DB24" s="43">
        <v>1</v>
      </c>
      <c r="DC24" s="43">
        <v>4</v>
      </c>
      <c r="DD24" s="43">
        <v>1</v>
      </c>
      <c r="DE24" s="43">
        <v>0</v>
      </c>
      <c r="DF24" s="43">
        <v>2</v>
      </c>
      <c r="DG24" s="43">
        <v>1</v>
      </c>
      <c r="DH24" s="43">
        <v>1</v>
      </c>
      <c r="DI24" s="43">
        <v>1</v>
      </c>
      <c r="DJ24" s="43">
        <v>0</v>
      </c>
      <c r="DK24" s="43">
        <v>0</v>
      </c>
      <c r="DL24" s="43">
        <v>2</v>
      </c>
      <c r="DM24" s="43">
        <v>3</v>
      </c>
      <c r="DN24" s="43">
        <v>0</v>
      </c>
      <c r="DO24" s="43">
        <v>1</v>
      </c>
      <c r="DP24" s="43">
        <v>2</v>
      </c>
      <c r="DQ24" s="43">
        <v>1</v>
      </c>
      <c r="DR24" s="43">
        <v>4</v>
      </c>
      <c r="DS24" s="43">
        <v>0</v>
      </c>
      <c r="DT24" s="43">
        <v>1</v>
      </c>
      <c r="DU24" s="43">
        <v>3</v>
      </c>
      <c r="DV24" s="43">
        <v>1</v>
      </c>
      <c r="DW24" s="43">
        <v>0</v>
      </c>
      <c r="DX24" s="43">
        <v>3</v>
      </c>
      <c r="DY24" s="43">
        <v>2</v>
      </c>
      <c r="DZ24" s="43">
        <v>0</v>
      </c>
      <c r="EA24" s="43">
        <v>2</v>
      </c>
      <c r="EB24" s="43">
        <v>0</v>
      </c>
      <c r="EC24" s="43">
        <v>0</v>
      </c>
      <c r="ED24" s="43">
        <v>2</v>
      </c>
      <c r="EE24" s="43">
        <v>2</v>
      </c>
      <c r="EF24" s="43">
        <v>0</v>
      </c>
      <c r="EG24" s="43">
        <v>2</v>
      </c>
      <c r="EH24" s="43">
        <v>0</v>
      </c>
      <c r="EI24" s="43">
        <v>0</v>
      </c>
      <c r="EJ24" s="43">
        <v>3</v>
      </c>
      <c r="EK24" s="43">
        <v>0</v>
      </c>
      <c r="EL24" s="43">
        <v>0</v>
      </c>
      <c r="EM24" s="43">
        <v>4</v>
      </c>
      <c r="EN24" s="43">
        <v>1</v>
      </c>
      <c r="EO24" s="43">
        <v>1</v>
      </c>
      <c r="EP24" s="43">
        <v>3</v>
      </c>
      <c r="EQ24" s="43">
        <v>2</v>
      </c>
      <c r="ER24" s="43">
        <v>0</v>
      </c>
      <c r="ES24" s="43">
        <v>2</v>
      </c>
      <c r="ET24" s="43">
        <v>0</v>
      </c>
      <c r="EU24" s="43">
        <v>0</v>
      </c>
      <c r="EV24" s="43">
        <v>2</v>
      </c>
      <c r="EW24" s="43">
        <v>1</v>
      </c>
      <c r="EX24" s="43">
        <v>1</v>
      </c>
      <c r="EY24" s="43">
        <v>4</v>
      </c>
      <c r="EZ24" s="43">
        <v>1</v>
      </c>
      <c r="FA24" s="43">
        <v>2</v>
      </c>
      <c r="FB24" s="43">
        <v>2</v>
      </c>
      <c r="FC24" s="43">
        <v>2</v>
      </c>
      <c r="FD24" s="43">
        <v>0</v>
      </c>
      <c r="FE24" s="43">
        <v>2</v>
      </c>
      <c r="FF24" s="43">
        <v>2</v>
      </c>
      <c r="FG24" s="43">
        <v>2</v>
      </c>
      <c r="FH24" s="43">
        <v>4</v>
      </c>
      <c r="FI24" s="43">
        <v>0</v>
      </c>
      <c r="FJ24" s="43">
        <v>2</v>
      </c>
      <c r="FK24" s="43">
        <v>4</v>
      </c>
      <c r="FL24" s="43">
        <v>1</v>
      </c>
      <c r="FM24" s="43">
        <v>0</v>
      </c>
      <c r="FN24" s="43">
        <v>3</v>
      </c>
      <c r="FO24" s="43">
        <v>0</v>
      </c>
      <c r="FP24" s="43">
        <v>1</v>
      </c>
      <c r="FQ24" s="43">
        <v>3</v>
      </c>
      <c r="FR24" s="43">
        <v>0</v>
      </c>
      <c r="FS24" s="43">
        <v>0</v>
      </c>
      <c r="FT24" s="43">
        <v>2</v>
      </c>
      <c r="FU24" s="43">
        <v>1</v>
      </c>
      <c r="FV24" s="43">
        <v>0</v>
      </c>
      <c r="FW24" s="43">
        <v>2</v>
      </c>
      <c r="FX24" s="43">
        <v>0</v>
      </c>
      <c r="FY24" s="43">
        <v>0</v>
      </c>
      <c r="FZ24" s="43">
        <v>2</v>
      </c>
      <c r="GA24" s="43">
        <v>1</v>
      </c>
      <c r="GB24" s="43">
        <v>0</v>
      </c>
      <c r="GC24" s="43">
        <v>2</v>
      </c>
      <c r="GD24" s="43">
        <v>0</v>
      </c>
      <c r="GE24" s="43">
        <v>0</v>
      </c>
      <c r="GF24" s="43">
        <v>1</v>
      </c>
      <c r="GG24" s="43">
        <v>2</v>
      </c>
      <c r="GH24" s="43">
        <v>1</v>
      </c>
      <c r="GI24" s="43">
        <v>2</v>
      </c>
      <c r="GJ24" s="43">
        <v>0</v>
      </c>
      <c r="GK24" s="43">
        <v>2</v>
      </c>
      <c r="GL24" s="43">
        <v>2</v>
      </c>
      <c r="GM24" s="43">
        <v>2</v>
      </c>
      <c r="GN24" s="43">
        <v>0</v>
      </c>
      <c r="GO24" s="43">
        <v>1</v>
      </c>
      <c r="GP24" s="43">
        <v>0</v>
      </c>
      <c r="GQ24" s="43">
        <v>2</v>
      </c>
      <c r="GR24" s="43">
        <v>2</v>
      </c>
      <c r="GS24" s="43">
        <v>1</v>
      </c>
      <c r="GT24" s="43">
        <v>3</v>
      </c>
      <c r="GU24" s="43">
        <v>3</v>
      </c>
      <c r="GV24" s="43">
        <v>3</v>
      </c>
      <c r="GW24" s="43">
        <v>0</v>
      </c>
      <c r="GX24" s="43">
        <v>2</v>
      </c>
      <c r="GY24" s="43">
        <v>0</v>
      </c>
      <c r="GZ24" s="43">
        <v>1</v>
      </c>
      <c r="HA24" s="43">
        <v>1</v>
      </c>
      <c r="HB24" s="43">
        <v>0</v>
      </c>
      <c r="HC24" s="43">
        <v>1</v>
      </c>
      <c r="HD24" s="43">
        <v>3</v>
      </c>
      <c r="HE24" s="43">
        <v>1</v>
      </c>
      <c r="HF24" s="43">
        <v>2</v>
      </c>
      <c r="HG24" s="43">
        <v>3</v>
      </c>
      <c r="HH24" s="43">
        <v>0</v>
      </c>
      <c r="HI24" s="43">
        <v>0</v>
      </c>
      <c r="HJ24" s="43">
        <v>3</v>
      </c>
      <c r="HK24" s="43">
        <v>1</v>
      </c>
      <c r="HL24" s="43">
        <v>1</v>
      </c>
      <c r="HM24" s="43">
        <v>4</v>
      </c>
      <c r="HN24" s="43">
        <v>1</v>
      </c>
      <c r="HO24" s="43">
        <v>2</v>
      </c>
      <c r="HP24" s="43">
        <v>2</v>
      </c>
      <c r="HQ24" s="43">
        <v>0</v>
      </c>
      <c r="HR24" s="43">
        <v>0</v>
      </c>
      <c r="HS24" s="43">
        <v>3</v>
      </c>
      <c r="HT24" s="43">
        <v>0</v>
      </c>
      <c r="HU24" s="43">
        <v>0</v>
      </c>
      <c r="HV24" s="43">
        <v>3</v>
      </c>
      <c r="HW24" s="43">
        <v>2</v>
      </c>
      <c r="HX24" s="43">
        <v>0</v>
      </c>
      <c r="HY24" s="43">
        <v>3</v>
      </c>
      <c r="HZ24" s="43">
        <v>2</v>
      </c>
      <c r="IA24" s="43">
        <v>2</v>
      </c>
      <c r="IB24" s="43">
        <v>2</v>
      </c>
      <c r="IC24" s="43">
        <v>1</v>
      </c>
      <c r="ID24" s="43">
        <v>0</v>
      </c>
      <c r="IE24" s="43">
        <v>1</v>
      </c>
      <c r="IF24" s="43">
        <v>2</v>
      </c>
      <c r="IG24" s="43">
        <v>0</v>
      </c>
      <c r="IH24" s="43">
        <v>1</v>
      </c>
      <c r="II24" s="43">
        <v>1</v>
      </c>
      <c r="IJ24" s="43">
        <v>0</v>
      </c>
      <c r="IK24" s="43">
        <v>2</v>
      </c>
      <c r="IL24" s="43">
        <v>1</v>
      </c>
      <c r="IM24" s="43">
        <v>1</v>
      </c>
      <c r="IN24" s="43">
        <v>2</v>
      </c>
      <c r="IO24" s="43">
        <v>1</v>
      </c>
      <c r="IP24" s="43">
        <v>0</v>
      </c>
      <c r="IQ24" s="43">
        <v>2</v>
      </c>
      <c r="IR24" s="43">
        <v>1</v>
      </c>
      <c r="IS24" s="43">
        <v>0</v>
      </c>
      <c r="IT24" s="43">
        <v>2</v>
      </c>
      <c r="IU24" s="43">
        <v>0</v>
      </c>
      <c r="IV24" s="43">
        <v>0</v>
      </c>
      <c r="IW24" s="43">
        <v>3</v>
      </c>
      <c r="IX24" s="43">
        <v>0</v>
      </c>
      <c r="IY24" s="43">
        <v>0</v>
      </c>
      <c r="IZ24" s="43">
        <v>1</v>
      </c>
      <c r="JA24" s="43">
        <v>1</v>
      </c>
      <c r="JB24" s="43">
        <v>0</v>
      </c>
      <c r="JC24" s="43">
        <v>2</v>
      </c>
      <c r="JD24" s="43">
        <v>0</v>
      </c>
      <c r="JE24" s="43">
        <v>2</v>
      </c>
      <c r="JF24" s="43">
        <v>2</v>
      </c>
      <c r="JG24" s="43">
        <v>0</v>
      </c>
      <c r="JH24" s="43">
        <v>1</v>
      </c>
      <c r="JI24" s="43">
        <v>2</v>
      </c>
      <c r="JJ24" s="43">
        <v>0</v>
      </c>
      <c r="JK24" s="43">
        <v>0</v>
      </c>
      <c r="JL24" s="43">
        <v>1</v>
      </c>
      <c r="JM24" s="43">
        <v>1</v>
      </c>
      <c r="JN24" s="43">
        <v>2</v>
      </c>
      <c r="JO24" s="43">
        <v>1</v>
      </c>
      <c r="JP24" s="43">
        <v>1</v>
      </c>
      <c r="JQ24" s="43">
        <v>0</v>
      </c>
      <c r="JR24" s="43">
        <v>4</v>
      </c>
      <c r="JS24" s="43">
        <v>1</v>
      </c>
      <c r="JT24" s="43">
        <v>1</v>
      </c>
      <c r="JU24" s="43">
        <v>2</v>
      </c>
      <c r="JV24" s="43">
        <v>1</v>
      </c>
      <c r="JW24" s="43">
        <v>0</v>
      </c>
      <c r="JX24" s="43">
        <v>3</v>
      </c>
      <c r="JY24" s="43">
        <v>3</v>
      </c>
      <c r="JZ24" s="43">
        <v>1</v>
      </c>
      <c r="KA24" s="43">
        <v>3</v>
      </c>
      <c r="KB24" s="43">
        <v>1</v>
      </c>
      <c r="KC24" s="43">
        <v>0</v>
      </c>
      <c r="KD24" s="43">
        <v>1</v>
      </c>
      <c r="KE24" s="43">
        <v>1</v>
      </c>
      <c r="KF24" s="43">
        <v>0</v>
      </c>
      <c r="KG24" s="43">
        <v>2</v>
      </c>
      <c r="KH24" s="43">
        <v>2</v>
      </c>
      <c r="KI24" s="43">
        <v>1</v>
      </c>
      <c r="KJ24" s="43">
        <v>1</v>
      </c>
      <c r="KK24" s="43">
        <v>1</v>
      </c>
      <c r="KL24" s="43">
        <v>1</v>
      </c>
      <c r="KM24" s="43">
        <v>2</v>
      </c>
      <c r="KN24" s="43">
        <v>1</v>
      </c>
      <c r="KO24" s="43">
        <v>1</v>
      </c>
    </row>
    <row r="25" spans="1:301" x14ac:dyDescent="0.4">
      <c r="A25" s="43">
        <v>21</v>
      </c>
      <c r="B25" s="43">
        <v>3</v>
      </c>
      <c r="C25" s="43">
        <v>1</v>
      </c>
      <c r="D25" s="43">
        <v>0</v>
      </c>
      <c r="E25" s="43">
        <v>4</v>
      </c>
      <c r="F25" s="43">
        <v>0</v>
      </c>
      <c r="G25" s="43">
        <v>1</v>
      </c>
      <c r="H25" s="43">
        <v>2</v>
      </c>
      <c r="I25" s="43">
        <v>1</v>
      </c>
      <c r="J25" s="43">
        <v>1</v>
      </c>
      <c r="K25" s="43">
        <v>2</v>
      </c>
      <c r="L25" s="43">
        <v>1</v>
      </c>
      <c r="M25" s="43">
        <v>0</v>
      </c>
      <c r="N25" s="43">
        <v>2</v>
      </c>
      <c r="O25" s="43">
        <v>2</v>
      </c>
      <c r="P25" s="43">
        <v>1</v>
      </c>
      <c r="Q25" s="43">
        <v>2</v>
      </c>
      <c r="R25" s="43">
        <v>0</v>
      </c>
      <c r="S25" s="43">
        <v>0</v>
      </c>
      <c r="T25" s="43">
        <v>1</v>
      </c>
      <c r="U25" s="43">
        <v>3</v>
      </c>
      <c r="V25" s="43">
        <v>1</v>
      </c>
      <c r="W25" s="43">
        <v>3</v>
      </c>
      <c r="X25" s="43">
        <v>3</v>
      </c>
      <c r="Y25" s="43">
        <v>1</v>
      </c>
      <c r="Z25" s="43">
        <v>2</v>
      </c>
      <c r="AA25" s="43">
        <v>2</v>
      </c>
      <c r="AB25" s="43">
        <v>0</v>
      </c>
      <c r="AC25" s="43">
        <v>2</v>
      </c>
      <c r="AD25" s="43">
        <v>0</v>
      </c>
      <c r="AE25" s="43">
        <v>0</v>
      </c>
      <c r="AF25" s="43">
        <v>4</v>
      </c>
      <c r="AG25" s="43">
        <v>0</v>
      </c>
      <c r="AH25" s="43">
        <v>2</v>
      </c>
      <c r="AI25" s="43">
        <v>2</v>
      </c>
      <c r="AJ25" s="43">
        <v>3</v>
      </c>
      <c r="AK25" s="43">
        <v>0</v>
      </c>
      <c r="AL25" s="43">
        <v>3</v>
      </c>
      <c r="AM25" s="43">
        <v>2</v>
      </c>
      <c r="AN25" s="43">
        <v>0</v>
      </c>
      <c r="AO25" s="43">
        <v>3</v>
      </c>
      <c r="AP25" s="43">
        <v>0</v>
      </c>
      <c r="AQ25" s="43">
        <v>0</v>
      </c>
      <c r="AR25" s="43">
        <v>3</v>
      </c>
      <c r="AS25" s="43">
        <v>1</v>
      </c>
      <c r="AT25" s="43">
        <v>0</v>
      </c>
      <c r="AU25" s="43">
        <v>2</v>
      </c>
      <c r="AV25" s="43">
        <v>0</v>
      </c>
      <c r="AW25" s="43">
        <v>0</v>
      </c>
      <c r="AX25" s="43">
        <v>2</v>
      </c>
      <c r="AY25" s="43">
        <v>0</v>
      </c>
      <c r="AZ25" s="43">
        <v>0</v>
      </c>
      <c r="BA25" s="43">
        <v>2</v>
      </c>
      <c r="BB25" s="43">
        <v>0</v>
      </c>
      <c r="BC25" s="43">
        <v>0</v>
      </c>
      <c r="BD25" s="43">
        <v>2</v>
      </c>
      <c r="BE25" s="43">
        <v>0</v>
      </c>
      <c r="BF25" s="43">
        <v>0</v>
      </c>
      <c r="BG25" s="43">
        <v>3</v>
      </c>
      <c r="BH25" s="43">
        <v>1</v>
      </c>
      <c r="BI25" s="43">
        <v>0</v>
      </c>
      <c r="BJ25" s="43">
        <v>2</v>
      </c>
      <c r="BK25" s="43">
        <v>2</v>
      </c>
      <c r="BL25" s="43">
        <v>0</v>
      </c>
      <c r="BM25" s="43">
        <v>3</v>
      </c>
      <c r="BN25" s="43">
        <v>1</v>
      </c>
      <c r="BO25" s="43">
        <v>1</v>
      </c>
      <c r="BP25" s="43">
        <v>3</v>
      </c>
      <c r="BQ25" s="43">
        <v>1</v>
      </c>
      <c r="BR25" s="43">
        <v>2</v>
      </c>
      <c r="BS25" s="43">
        <v>1</v>
      </c>
      <c r="BT25" s="43">
        <v>2</v>
      </c>
      <c r="BU25" s="43">
        <v>1</v>
      </c>
      <c r="BV25" s="43">
        <v>2</v>
      </c>
      <c r="BW25" s="43">
        <v>1</v>
      </c>
      <c r="BX25" s="43">
        <v>3</v>
      </c>
      <c r="BY25" s="43">
        <v>3</v>
      </c>
      <c r="BZ25" s="43">
        <v>2</v>
      </c>
      <c r="CA25" s="43">
        <v>0</v>
      </c>
      <c r="CB25" s="43">
        <v>3</v>
      </c>
      <c r="CC25" s="43">
        <v>0</v>
      </c>
      <c r="CD25" s="43">
        <v>1</v>
      </c>
      <c r="CE25" s="43">
        <v>4</v>
      </c>
      <c r="CF25" s="43">
        <v>1</v>
      </c>
      <c r="CG25" s="43">
        <v>0</v>
      </c>
      <c r="CH25" s="43">
        <v>2</v>
      </c>
      <c r="CI25" s="43">
        <v>0</v>
      </c>
      <c r="CJ25" s="43">
        <v>1</v>
      </c>
      <c r="CK25" s="43">
        <v>4</v>
      </c>
      <c r="CL25" s="43">
        <v>0</v>
      </c>
      <c r="CM25" s="43">
        <v>1</v>
      </c>
      <c r="CN25" s="43">
        <v>2</v>
      </c>
      <c r="CO25" s="43">
        <v>1</v>
      </c>
      <c r="CP25" s="43">
        <v>0</v>
      </c>
      <c r="CQ25" s="43">
        <v>3</v>
      </c>
      <c r="CR25" s="43">
        <v>2</v>
      </c>
      <c r="CS25" s="43">
        <v>0</v>
      </c>
      <c r="CT25" s="43">
        <v>2</v>
      </c>
      <c r="CU25" s="43">
        <v>0</v>
      </c>
      <c r="CV25" s="43">
        <v>0</v>
      </c>
      <c r="CW25" s="43">
        <v>3</v>
      </c>
      <c r="CX25" s="43">
        <v>1</v>
      </c>
      <c r="CY25" s="43">
        <v>1</v>
      </c>
      <c r="CZ25" s="43">
        <v>3</v>
      </c>
      <c r="DA25" s="43">
        <v>2</v>
      </c>
      <c r="DB25" s="43">
        <v>0</v>
      </c>
      <c r="DC25" s="43">
        <v>3</v>
      </c>
      <c r="DD25" s="43">
        <v>0</v>
      </c>
      <c r="DE25" s="43">
        <v>2</v>
      </c>
      <c r="DF25" s="43">
        <v>3</v>
      </c>
      <c r="DG25" s="43">
        <v>2</v>
      </c>
      <c r="DH25" s="43">
        <v>0</v>
      </c>
      <c r="DI25" s="43">
        <v>3</v>
      </c>
      <c r="DJ25" s="43">
        <v>3</v>
      </c>
      <c r="DK25" s="43">
        <v>0</v>
      </c>
      <c r="DL25" s="43">
        <v>2</v>
      </c>
      <c r="DM25" s="43">
        <v>1</v>
      </c>
      <c r="DN25" s="43">
        <v>1</v>
      </c>
      <c r="DO25" s="43">
        <v>2</v>
      </c>
      <c r="DP25" s="43">
        <v>0</v>
      </c>
      <c r="DQ25" s="43">
        <v>1</v>
      </c>
      <c r="DR25" s="43">
        <v>1</v>
      </c>
      <c r="DS25" s="43">
        <v>1</v>
      </c>
      <c r="DT25" s="43">
        <v>0</v>
      </c>
      <c r="DU25" s="43">
        <v>3</v>
      </c>
      <c r="DV25" s="43">
        <v>2</v>
      </c>
      <c r="DW25" s="43">
        <v>1</v>
      </c>
      <c r="DX25" s="43">
        <v>2</v>
      </c>
      <c r="DY25" s="43">
        <v>2</v>
      </c>
      <c r="DZ25" s="43">
        <v>1</v>
      </c>
      <c r="EA25" s="43">
        <v>4</v>
      </c>
      <c r="EB25" s="43">
        <v>1</v>
      </c>
      <c r="EC25" s="43">
        <v>1</v>
      </c>
      <c r="ED25" s="43">
        <v>3</v>
      </c>
      <c r="EE25" s="43">
        <v>2</v>
      </c>
      <c r="EF25" s="43">
        <v>0</v>
      </c>
      <c r="EG25" s="43">
        <v>2</v>
      </c>
      <c r="EH25" s="43">
        <v>0</v>
      </c>
      <c r="EI25" s="43">
        <v>0</v>
      </c>
      <c r="EJ25" s="43">
        <v>2</v>
      </c>
      <c r="EK25" s="43">
        <v>0</v>
      </c>
      <c r="EL25" s="43">
        <v>0</v>
      </c>
      <c r="EM25" s="43">
        <v>2</v>
      </c>
      <c r="EN25" s="43">
        <v>1</v>
      </c>
      <c r="EO25" s="43">
        <v>1</v>
      </c>
      <c r="EP25" s="43">
        <v>4</v>
      </c>
      <c r="EQ25" s="43">
        <v>0</v>
      </c>
      <c r="ER25" s="43">
        <v>0</v>
      </c>
      <c r="ES25" s="43">
        <v>2</v>
      </c>
      <c r="ET25" s="43">
        <v>0</v>
      </c>
      <c r="EU25" s="43">
        <v>0</v>
      </c>
      <c r="EV25" s="43">
        <v>2</v>
      </c>
      <c r="EW25" s="43">
        <v>2</v>
      </c>
      <c r="EX25" s="43">
        <v>1</v>
      </c>
      <c r="EY25" s="43">
        <v>4</v>
      </c>
      <c r="EZ25" s="43">
        <v>1</v>
      </c>
      <c r="FA25" s="43">
        <v>1</v>
      </c>
      <c r="FB25" s="43">
        <v>3</v>
      </c>
      <c r="FC25" s="43">
        <v>0</v>
      </c>
      <c r="FD25" s="43">
        <v>1</v>
      </c>
      <c r="FE25" s="43">
        <v>2</v>
      </c>
      <c r="FF25" s="43">
        <v>0</v>
      </c>
      <c r="FG25" s="43">
        <v>2</v>
      </c>
      <c r="FH25" s="43">
        <v>3</v>
      </c>
      <c r="FI25" s="43">
        <v>0</v>
      </c>
      <c r="FJ25" s="43">
        <v>1</v>
      </c>
      <c r="FK25" s="43">
        <v>1</v>
      </c>
      <c r="FL25" s="43">
        <v>1</v>
      </c>
      <c r="FM25" s="43">
        <v>1</v>
      </c>
      <c r="FN25" s="43">
        <v>3</v>
      </c>
      <c r="FO25" s="43">
        <v>2</v>
      </c>
      <c r="FP25" s="43">
        <v>1</v>
      </c>
      <c r="FQ25" s="43">
        <v>3</v>
      </c>
      <c r="FR25" s="43">
        <v>1</v>
      </c>
      <c r="FS25" s="43">
        <v>0</v>
      </c>
      <c r="FT25" s="43">
        <v>1</v>
      </c>
      <c r="FU25" s="43">
        <v>1</v>
      </c>
      <c r="FV25" s="43">
        <v>1</v>
      </c>
      <c r="FW25" s="43">
        <v>2</v>
      </c>
      <c r="FX25" s="43">
        <v>1</v>
      </c>
      <c r="FY25" s="43">
        <v>1</v>
      </c>
      <c r="FZ25" s="43">
        <v>3</v>
      </c>
      <c r="GA25" s="43">
        <v>1</v>
      </c>
      <c r="GB25" s="43">
        <v>0</v>
      </c>
      <c r="GC25" s="43">
        <v>2</v>
      </c>
      <c r="GD25" s="43">
        <v>2</v>
      </c>
      <c r="GE25" s="43">
        <v>0</v>
      </c>
      <c r="GF25" s="43">
        <v>2</v>
      </c>
      <c r="GG25" s="43">
        <v>1</v>
      </c>
      <c r="GH25" s="43">
        <v>0</v>
      </c>
      <c r="GI25" s="43">
        <v>2</v>
      </c>
      <c r="GJ25" s="43">
        <v>0</v>
      </c>
      <c r="GK25" s="43">
        <v>1</v>
      </c>
      <c r="GL25" s="43">
        <v>3</v>
      </c>
      <c r="GM25" s="43">
        <v>0</v>
      </c>
      <c r="GN25" s="43">
        <v>2</v>
      </c>
      <c r="GO25" s="43">
        <v>2</v>
      </c>
      <c r="GP25" s="43">
        <v>2</v>
      </c>
      <c r="GQ25" s="43">
        <v>2</v>
      </c>
      <c r="GR25" s="43">
        <v>4</v>
      </c>
      <c r="GS25" s="43">
        <v>1</v>
      </c>
      <c r="GT25" s="43">
        <v>2</v>
      </c>
      <c r="GU25" s="43">
        <v>2</v>
      </c>
      <c r="GV25" s="43">
        <v>1</v>
      </c>
      <c r="GW25" s="43">
        <v>3</v>
      </c>
      <c r="GX25" s="43">
        <v>2</v>
      </c>
      <c r="GY25" s="43">
        <v>0</v>
      </c>
      <c r="GZ25" s="43">
        <v>0</v>
      </c>
      <c r="HA25" s="43">
        <v>3</v>
      </c>
      <c r="HB25" s="43">
        <v>1</v>
      </c>
      <c r="HC25" s="43">
        <v>0</v>
      </c>
      <c r="HD25" s="43">
        <v>2</v>
      </c>
      <c r="HE25" s="43">
        <v>0</v>
      </c>
      <c r="HF25" s="43">
        <v>1</v>
      </c>
      <c r="HG25" s="43">
        <v>2</v>
      </c>
      <c r="HH25" s="43">
        <v>2</v>
      </c>
      <c r="HI25" s="43">
        <v>0</v>
      </c>
      <c r="HJ25" s="43">
        <v>3</v>
      </c>
      <c r="HK25" s="43">
        <v>1</v>
      </c>
      <c r="HL25" s="43">
        <v>4</v>
      </c>
      <c r="HM25" s="43">
        <v>4</v>
      </c>
      <c r="HN25" s="43">
        <v>1</v>
      </c>
      <c r="HO25" s="43">
        <v>0</v>
      </c>
      <c r="HP25" s="43">
        <v>3</v>
      </c>
      <c r="HQ25" s="43">
        <v>3</v>
      </c>
      <c r="HR25" s="43">
        <v>2</v>
      </c>
      <c r="HS25" s="43">
        <v>2</v>
      </c>
      <c r="HT25" s="43">
        <v>1</v>
      </c>
      <c r="HU25" s="43">
        <v>2</v>
      </c>
      <c r="HV25" s="43">
        <v>1</v>
      </c>
      <c r="HW25" s="43">
        <v>0</v>
      </c>
      <c r="HX25" s="43">
        <v>2</v>
      </c>
      <c r="HY25" s="43">
        <v>3</v>
      </c>
      <c r="HZ25" s="43">
        <v>0</v>
      </c>
      <c r="IA25" s="43">
        <v>0</v>
      </c>
      <c r="IB25" s="43">
        <v>1</v>
      </c>
      <c r="IC25" s="43">
        <v>2</v>
      </c>
      <c r="ID25" s="43">
        <v>1</v>
      </c>
      <c r="IE25" s="43">
        <v>2</v>
      </c>
      <c r="IF25" s="43">
        <v>1</v>
      </c>
      <c r="IG25" s="43">
        <v>1</v>
      </c>
      <c r="IH25" s="43">
        <v>2</v>
      </c>
      <c r="II25" s="43">
        <v>2</v>
      </c>
      <c r="IJ25" s="43">
        <v>1</v>
      </c>
      <c r="IK25" s="43">
        <v>4</v>
      </c>
      <c r="IL25" s="43">
        <v>0</v>
      </c>
      <c r="IM25" s="43">
        <v>1</v>
      </c>
      <c r="IN25" s="43">
        <v>3</v>
      </c>
      <c r="IO25" s="43">
        <v>0</v>
      </c>
      <c r="IP25" s="43">
        <v>1</v>
      </c>
      <c r="IQ25" s="43">
        <v>2</v>
      </c>
      <c r="IR25" s="43">
        <v>2</v>
      </c>
      <c r="IS25" s="43">
        <v>0</v>
      </c>
      <c r="IT25" s="43">
        <v>3</v>
      </c>
      <c r="IU25" s="43">
        <v>0</v>
      </c>
      <c r="IV25" s="43">
        <v>0</v>
      </c>
      <c r="IW25" s="43">
        <v>4</v>
      </c>
      <c r="IX25" s="43">
        <v>0</v>
      </c>
      <c r="IY25" s="43">
        <v>1</v>
      </c>
      <c r="IZ25" s="43">
        <v>3</v>
      </c>
      <c r="JA25" s="43">
        <v>2</v>
      </c>
      <c r="JB25" s="43">
        <v>0</v>
      </c>
      <c r="JC25" s="43">
        <v>2</v>
      </c>
      <c r="JD25" s="43">
        <v>2</v>
      </c>
      <c r="JE25" s="43">
        <v>2</v>
      </c>
      <c r="JF25" s="43">
        <v>0</v>
      </c>
      <c r="JG25" s="43">
        <v>0</v>
      </c>
      <c r="JH25" s="43">
        <v>2</v>
      </c>
      <c r="JI25" s="43">
        <v>3</v>
      </c>
      <c r="JJ25" s="43">
        <v>0</v>
      </c>
      <c r="JK25" s="43">
        <v>0</v>
      </c>
      <c r="JL25" s="43">
        <v>4</v>
      </c>
      <c r="JM25" s="43">
        <v>1</v>
      </c>
      <c r="JN25" s="43">
        <v>1</v>
      </c>
      <c r="JO25" s="43">
        <v>2</v>
      </c>
      <c r="JP25" s="43">
        <v>0</v>
      </c>
      <c r="JQ25" s="43">
        <v>1</v>
      </c>
      <c r="JR25" s="43">
        <v>4</v>
      </c>
      <c r="JS25" s="43">
        <v>0</v>
      </c>
      <c r="JT25" s="43">
        <v>0</v>
      </c>
      <c r="JU25" s="43">
        <v>1</v>
      </c>
      <c r="JV25" s="43">
        <v>2</v>
      </c>
      <c r="JW25" s="43">
        <v>1</v>
      </c>
      <c r="JX25" s="43">
        <v>4</v>
      </c>
      <c r="JY25" s="43">
        <v>1</v>
      </c>
      <c r="JZ25" s="43">
        <v>1</v>
      </c>
      <c r="KA25" s="43">
        <v>4</v>
      </c>
      <c r="KB25" s="43">
        <v>0</v>
      </c>
      <c r="KC25" s="43">
        <v>0</v>
      </c>
      <c r="KD25" s="43">
        <v>2</v>
      </c>
      <c r="KE25" s="43">
        <v>1</v>
      </c>
      <c r="KF25" s="43">
        <v>0</v>
      </c>
      <c r="KG25" s="43">
        <v>2</v>
      </c>
      <c r="KH25" s="43">
        <v>2</v>
      </c>
      <c r="KI25" s="43">
        <v>1</v>
      </c>
      <c r="KJ25" s="43">
        <v>4</v>
      </c>
      <c r="KK25" s="43">
        <v>2</v>
      </c>
      <c r="KL25" s="43">
        <v>0</v>
      </c>
      <c r="KM25" s="43">
        <v>1</v>
      </c>
      <c r="KN25" s="43">
        <v>1</v>
      </c>
      <c r="KO25" s="43">
        <v>1</v>
      </c>
    </row>
    <row r="26" spans="1:301" x14ac:dyDescent="0.4">
      <c r="A26" s="43">
        <v>22</v>
      </c>
      <c r="B26" s="43">
        <v>1</v>
      </c>
      <c r="C26" s="43">
        <v>1</v>
      </c>
      <c r="D26" s="43">
        <v>0</v>
      </c>
      <c r="E26" s="43">
        <v>3</v>
      </c>
      <c r="F26" s="43">
        <v>2</v>
      </c>
      <c r="G26" s="43">
        <v>0</v>
      </c>
      <c r="H26" s="43">
        <v>3</v>
      </c>
      <c r="I26" s="43">
        <v>2</v>
      </c>
      <c r="J26" s="43">
        <v>0</v>
      </c>
      <c r="K26" s="43">
        <v>3</v>
      </c>
      <c r="L26" s="43">
        <v>1</v>
      </c>
      <c r="M26" s="43">
        <v>1</v>
      </c>
      <c r="N26" s="43">
        <v>0</v>
      </c>
      <c r="O26" s="43">
        <v>1</v>
      </c>
      <c r="P26" s="43">
        <v>1</v>
      </c>
      <c r="Q26" s="43">
        <v>2</v>
      </c>
      <c r="R26" s="43">
        <v>3</v>
      </c>
      <c r="S26" s="43">
        <v>1</v>
      </c>
      <c r="T26" s="43">
        <v>3</v>
      </c>
      <c r="U26" s="43">
        <v>1</v>
      </c>
      <c r="V26" s="43">
        <v>2</v>
      </c>
      <c r="W26" s="43">
        <v>3</v>
      </c>
      <c r="X26" s="43">
        <v>2</v>
      </c>
      <c r="Y26" s="43">
        <v>0</v>
      </c>
      <c r="Z26" s="43">
        <v>1</v>
      </c>
      <c r="AA26" s="43">
        <v>1</v>
      </c>
      <c r="AB26" s="43">
        <v>1</v>
      </c>
      <c r="AC26" s="43">
        <v>1</v>
      </c>
      <c r="AD26" s="43">
        <v>1</v>
      </c>
      <c r="AE26" s="43">
        <v>2</v>
      </c>
      <c r="AF26" s="43">
        <v>2</v>
      </c>
      <c r="AG26" s="43">
        <v>0</v>
      </c>
      <c r="AH26" s="43">
        <v>1</v>
      </c>
      <c r="AI26" s="43">
        <v>3</v>
      </c>
      <c r="AJ26" s="43">
        <v>3</v>
      </c>
      <c r="AK26" s="43">
        <v>0</v>
      </c>
      <c r="AL26" s="43">
        <v>3</v>
      </c>
      <c r="AM26" s="43">
        <v>2</v>
      </c>
      <c r="AN26" s="43">
        <v>2</v>
      </c>
      <c r="AO26" s="43">
        <v>2</v>
      </c>
      <c r="AP26" s="43">
        <v>1</v>
      </c>
      <c r="AQ26" s="43">
        <v>1</v>
      </c>
      <c r="AR26" s="43">
        <v>4</v>
      </c>
      <c r="AS26" s="43">
        <v>1</v>
      </c>
      <c r="AT26" s="43">
        <v>0</v>
      </c>
      <c r="AU26" s="43">
        <v>2</v>
      </c>
      <c r="AV26" s="43">
        <v>2</v>
      </c>
      <c r="AW26" s="43">
        <v>0</v>
      </c>
      <c r="AX26" s="43">
        <v>3</v>
      </c>
      <c r="AY26" s="43">
        <v>0</v>
      </c>
      <c r="AZ26" s="43">
        <v>0</v>
      </c>
      <c r="BA26" s="43">
        <v>3</v>
      </c>
      <c r="BB26" s="43">
        <v>1</v>
      </c>
      <c r="BC26" s="43">
        <v>0</v>
      </c>
      <c r="BD26" s="43">
        <v>4</v>
      </c>
      <c r="BE26" s="43">
        <v>0</v>
      </c>
      <c r="BF26" s="43">
        <v>0</v>
      </c>
      <c r="BG26" s="43">
        <v>0</v>
      </c>
      <c r="BH26" s="43">
        <v>0</v>
      </c>
      <c r="BI26" s="43">
        <v>1</v>
      </c>
      <c r="BJ26" s="43">
        <v>2</v>
      </c>
      <c r="BK26" s="43">
        <v>1</v>
      </c>
      <c r="BL26" s="43">
        <v>0</v>
      </c>
      <c r="BM26" s="43">
        <v>3</v>
      </c>
      <c r="BN26" s="43">
        <v>1</v>
      </c>
      <c r="BO26" s="43">
        <v>0</v>
      </c>
      <c r="BP26" s="43">
        <v>2</v>
      </c>
      <c r="BQ26" s="43">
        <v>1</v>
      </c>
      <c r="BR26" s="43">
        <v>2</v>
      </c>
      <c r="BS26" s="43">
        <v>3</v>
      </c>
      <c r="BT26" s="43">
        <v>0</v>
      </c>
      <c r="BU26" s="43">
        <v>0</v>
      </c>
      <c r="BV26" s="43">
        <v>1</v>
      </c>
      <c r="BW26" s="43">
        <v>3</v>
      </c>
      <c r="BX26" s="43">
        <v>1</v>
      </c>
      <c r="BY26" s="43">
        <v>1</v>
      </c>
      <c r="BZ26" s="43">
        <v>1</v>
      </c>
      <c r="CA26" s="43">
        <v>0</v>
      </c>
      <c r="CB26" s="43">
        <v>4</v>
      </c>
      <c r="CC26" s="43">
        <v>1</v>
      </c>
      <c r="CD26" s="43">
        <v>1</v>
      </c>
      <c r="CE26" s="43">
        <v>1</v>
      </c>
      <c r="CF26" s="43">
        <v>1</v>
      </c>
      <c r="CG26" s="43">
        <v>1</v>
      </c>
      <c r="CH26" s="43">
        <v>2</v>
      </c>
      <c r="CI26" s="43">
        <v>0</v>
      </c>
      <c r="CJ26" s="43">
        <v>0</v>
      </c>
      <c r="CK26" s="43">
        <v>3</v>
      </c>
      <c r="CL26" s="43">
        <v>2</v>
      </c>
      <c r="CM26" s="43">
        <v>0</v>
      </c>
      <c r="CN26" s="43">
        <v>4</v>
      </c>
      <c r="CO26" s="43">
        <v>1</v>
      </c>
      <c r="CP26" s="43">
        <v>1</v>
      </c>
      <c r="CQ26" s="43">
        <v>4</v>
      </c>
      <c r="CR26" s="43">
        <v>1</v>
      </c>
      <c r="CS26" s="43">
        <v>0</v>
      </c>
      <c r="CT26" s="43">
        <v>1</v>
      </c>
      <c r="CU26" s="43">
        <v>1</v>
      </c>
      <c r="CV26" s="43">
        <v>0</v>
      </c>
      <c r="CW26" s="43">
        <v>4</v>
      </c>
      <c r="CX26" s="43">
        <v>1</v>
      </c>
      <c r="CY26" s="43">
        <v>1</v>
      </c>
      <c r="CZ26" s="43">
        <v>3</v>
      </c>
      <c r="DA26" s="43">
        <v>0</v>
      </c>
      <c r="DB26" s="43">
        <v>0</v>
      </c>
      <c r="DC26" s="43">
        <v>2</v>
      </c>
      <c r="DD26" s="43">
        <v>2</v>
      </c>
      <c r="DE26" s="43">
        <v>0</v>
      </c>
      <c r="DF26" s="43">
        <v>3</v>
      </c>
      <c r="DG26" s="43">
        <v>1</v>
      </c>
      <c r="DH26" s="43">
        <v>1</v>
      </c>
      <c r="DI26" s="43">
        <v>3</v>
      </c>
      <c r="DJ26" s="43">
        <v>0</v>
      </c>
      <c r="DK26" s="43">
        <v>0</v>
      </c>
      <c r="DL26" s="43">
        <v>3</v>
      </c>
      <c r="DM26" s="43">
        <v>1</v>
      </c>
      <c r="DN26" s="43">
        <v>2</v>
      </c>
      <c r="DO26" s="43">
        <v>4</v>
      </c>
      <c r="DP26" s="43">
        <v>1</v>
      </c>
      <c r="DQ26" s="43">
        <v>0</v>
      </c>
      <c r="DR26" s="43">
        <v>3</v>
      </c>
      <c r="DS26" s="43">
        <v>2</v>
      </c>
      <c r="DT26" s="43">
        <v>1</v>
      </c>
      <c r="DU26" s="43">
        <v>2</v>
      </c>
      <c r="DV26" s="43">
        <v>2</v>
      </c>
      <c r="DW26" s="43">
        <v>1</v>
      </c>
      <c r="DX26" s="43">
        <v>1</v>
      </c>
      <c r="DY26" s="43">
        <v>1</v>
      </c>
      <c r="DZ26" s="43">
        <v>0</v>
      </c>
      <c r="EA26" s="43">
        <v>3</v>
      </c>
      <c r="EB26" s="43">
        <v>1</v>
      </c>
      <c r="EC26" s="43">
        <v>1</v>
      </c>
      <c r="ED26" s="43">
        <v>4</v>
      </c>
      <c r="EE26" s="43">
        <v>1</v>
      </c>
      <c r="EF26" s="43">
        <v>2</v>
      </c>
      <c r="EG26" s="43">
        <v>3</v>
      </c>
      <c r="EH26" s="43">
        <v>2</v>
      </c>
      <c r="EI26" s="43">
        <v>0</v>
      </c>
      <c r="EJ26" s="43">
        <v>3</v>
      </c>
      <c r="EK26" s="43">
        <v>1</v>
      </c>
      <c r="EL26" s="43">
        <v>1</v>
      </c>
      <c r="EM26" s="43">
        <v>3</v>
      </c>
      <c r="EN26" s="43">
        <v>0</v>
      </c>
      <c r="EO26" s="43">
        <v>0</v>
      </c>
      <c r="EP26" s="43">
        <v>3</v>
      </c>
      <c r="EQ26" s="43">
        <v>0</v>
      </c>
      <c r="ER26" s="43">
        <v>1</v>
      </c>
      <c r="ES26" s="43">
        <v>3</v>
      </c>
      <c r="ET26" s="43">
        <v>2</v>
      </c>
      <c r="EU26" s="43">
        <v>1</v>
      </c>
      <c r="EV26" s="43">
        <v>2</v>
      </c>
      <c r="EW26" s="43">
        <v>0</v>
      </c>
      <c r="EX26" s="43">
        <v>1</v>
      </c>
      <c r="EY26" s="43">
        <v>4</v>
      </c>
      <c r="EZ26" s="43">
        <v>1</v>
      </c>
      <c r="FA26" s="43">
        <v>0</v>
      </c>
      <c r="FB26" s="43">
        <v>2</v>
      </c>
      <c r="FC26" s="43">
        <v>1</v>
      </c>
      <c r="FD26" s="43">
        <v>0</v>
      </c>
      <c r="FE26" s="43">
        <v>3</v>
      </c>
      <c r="FF26" s="43">
        <v>2</v>
      </c>
      <c r="FG26" s="43">
        <v>0</v>
      </c>
      <c r="FH26" s="43">
        <v>1</v>
      </c>
      <c r="FI26" s="43">
        <v>1</v>
      </c>
      <c r="FJ26" s="43">
        <v>1</v>
      </c>
      <c r="FK26" s="43">
        <v>3</v>
      </c>
      <c r="FL26" s="43">
        <v>3</v>
      </c>
      <c r="FM26" s="43">
        <v>1</v>
      </c>
      <c r="FN26" s="43">
        <v>3</v>
      </c>
      <c r="FO26" s="43">
        <v>2</v>
      </c>
      <c r="FP26" s="43">
        <v>1</v>
      </c>
      <c r="FQ26" s="43">
        <v>3</v>
      </c>
      <c r="FR26" s="43">
        <v>2</v>
      </c>
      <c r="FS26" s="43">
        <v>0</v>
      </c>
      <c r="FT26" s="43">
        <v>1</v>
      </c>
      <c r="FU26" s="43">
        <v>1</v>
      </c>
      <c r="FV26" s="43">
        <v>0</v>
      </c>
      <c r="FW26" s="43">
        <v>2</v>
      </c>
      <c r="FX26" s="43">
        <v>0</v>
      </c>
      <c r="FY26" s="43">
        <v>0</v>
      </c>
      <c r="FZ26" s="43">
        <v>3</v>
      </c>
      <c r="GA26" s="43">
        <v>1</v>
      </c>
      <c r="GB26" s="43">
        <v>1</v>
      </c>
      <c r="GC26" s="43">
        <v>2</v>
      </c>
      <c r="GD26" s="43">
        <v>0</v>
      </c>
      <c r="GE26" s="43">
        <v>0</v>
      </c>
      <c r="GF26" s="43">
        <v>3</v>
      </c>
      <c r="GG26" s="43">
        <v>1</v>
      </c>
      <c r="GH26" s="43">
        <v>1</v>
      </c>
      <c r="GI26" s="43">
        <v>3</v>
      </c>
      <c r="GJ26" s="43">
        <v>2</v>
      </c>
      <c r="GK26" s="43">
        <v>0</v>
      </c>
      <c r="GL26" s="43">
        <v>2</v>
      </c>
      <c r="GM26" s="43">
        <v>1</v>
      </c>
      <c r="GN26" s="43">
        <v>1</v>
      </c>
      <c r="GO26" s="43">
        <v>3</v>
      </c>
      <c r="GP26" s="43">
        <v>1</v>
      </c>
      <c r="GQ26" s="43">
        <v>0</v>
      </c>
      <c r="GR26" s="43">
        <v>1</v>
      </c>
      <c r="GS26" s="43">
        <v>1</v>
      </c>
      <c r="GT26" s="43">
        <v>0</v>
      </c>
      <c r="GU26" s="43">
        <v>1</v>
      </c>
      <c r="GV26" s="43">
        <v>2</v>
      </c>
      <c r="GW26" s="43">
        <v>1</v>
      </c>
      <c r="GX26" s="43">
        <v>3</v>
      </c>
      <c r="GY26" s="43">
        <v>0</v>
      </c>
      <c r="GZ26" s="43">
        <v>0</v>
      </c>
      <c r="HA26" s="43">
        <v>3</v>
      </c>
      <c r="HB26" s="43">
        <v>1</v>
      </c>
      <c r="HC26" s="43">
        <v>0</v>
      </c>
      <c r="HD26" s="43">
        <v>3</v>
      </c>
      <c r="HE26" s="43">
        <v>0</v>
      </c>
      <c r="HF26" s="43">
        <v>1</v>
      </c>
      <c r="HG26" s="43">
        <v>3</v>
      </c>
      <c r="HH26" s="43">
        <v>1</v>
      </c>
      <c r="HI26" s="43">
        <v>0</v>
      </c>
      <c r="HJ26" s="43">
        <v>3</v>
      </c>
      <c r="HK26" s="43">
        <v>0</v>
      </c>
      <c r="HL26" s="43">
        <v>1</v>
      </c>
      <c r="HM26" s="43">
        <v>2</v>
      </c>
      <c r="HN26" s="43">
        <v>2</v>
      </c>
      <c r="HO26" s="43">
        <v>2</v>
      </c>
      <c r="HP26" s="43">
        <v>2</v>
      </c>
      <c r="HQ26" s="43">
        <v>3</v>
      </c>
      <c r="HR26" s="43">
        <v>0</v>
      </c>
      <c r="HS26" s="43">
        <v>3</v>
      </c>
      <c r="HT26" s="43">
        <v>0</v>
      </c>
      <c r="HU26" s="43">
        <v>0</v>
      </c>
      <c r="HV26" s="43">
        <v>4</v>
      </c>
      <c r="HW26" s="43">
        <v>0</v>
      </c>
      <c r="HX26" s="43">
        <v>0</v>
      </c>
      <c r="HY26" s="43">
        <v>4</v>
      </c>
      <c r="HZ26" s="43">
        <v>1</v>
      </c>
      <c r="IA26" s="43">
        <v>1</v>
      </c>
      <c r="IB26" s="43">
        <v>3</v>
      </c>
      <c r="IC26" s="43">
        <v>0</v>
      </c>
      <c r="ID26" s="43">
        <v>3</v>
      </c>
      <c r="IE26" s="43">
        <v>2</v>
      </c>
      <c r="IF26" s="43">
        <v>1</v>
      </c>
      <c r="IG26" s="43">
        <v>1</v>
      </c>
      <c r="IH26" s="43">
        <v>3</v>
      </c>
      <c r="II26" s="43">
        <v>0</v>
      </c>
      <c r="IJ26" s="43">
        <v>0</v>
      </c>
      <c r="IK26" s="43">
        <v>3</v>
      </c>
      <c r="IL26" s="43">
        <v>2</v>
      </c>
      <c r="IM26" s="43">
        <v>3</v>
      </c>
      <c r="IN26" s="43">
        <v>2</v>
      </c>
      <c r="IO26" s="43">
        <v>0</v>
      </c>
      <c r="IP26" s="43">
        <v>2</v>
      </c>
      <c r="IQ26" s="43">
        <v>1</v>
      </c>
      <c r="IR26" s="43">
        <v>1</v>
      </c>
      <c r="IS26" s="43">
        <v>0</v>
      </c>
      <c r="IT26" s="43">
        <v>3</v>
      </c>
      <c r="IU26" s="43">
        <v>1</v>
      </c>
      <c r="IV26" s="43">
        <v>1</v>
      </c>
      <c r="IW26" s="43">
        <v>4</v>
      </c>
      <c r="IX26" s="43">
        <v>0</v>
      </c>
      <c r="IY26" s="43">
        <v>0</v>
      </c>
      <c r="IZ26" s="43">
        <v>1</v>
      </c>
      <c r="JA26" s="43">
        <v>1</v>
      </c>
      <c r="JB26" s="43">
        <v>1</v>
      </c>
      <c r="JC26" s="43">
        <v>3</v>
      </c>
      <c r="JD26" s="43">
        <v>3</v>
      </c>
      <c r="JE26" s="43">
        <v>0</v>
      </c>
      <c r="JF26" s="43">
        <v>3</v>
      </c>
      <c r="JG26" s="43">
        <v>2</v>
      </c>
      <c r="JH26" s="43">
        <v>0</v>
      </c>
      <c r="JI26" s="43">
        <v>2</v>
      </c>
      <c r="JJ26" s="43">
        <v>0</v>
      </c>
      <c r="JK26" s="43">
        <v>1</v>
      </c>
      <c r="JL26" s="43">
        <v>0</v>
      </c>
      <c r="JM26" s="43">
        <v>0</v>
      </c>
      <c r="JN26" s="43">
        <v>0</v>
      </c>
      <c r="JO26" s="43">
        <v>2</v>
      </c>
      <c r="JP26" s="43">
        <v>0</v>
      </c>
      <c r="JQ26" s="43">
        <v>1</v>
      </c>
      <c r="JR26" s="43">
        <v>1</v>
      </c>
      <c r="JS26" s="43">
        <v>0</v>
      </c>
      <c r="JT26" s="43">
        <v>0</v>
      </c>
      <c r="JU26" s="43">
        <v>3</v>
      </c>
      <c r="JV26" s="43">
        <v>2</v>
      </c>
      <c r="JW26" s="43">
        <v>1</v>
      </c>
      <c r="JX26" s="43">
        <v>3</v>
      </c>
      <c r="JY26" s="43">
        <v>1</v>
      </c>
      <c r="JZ26" s="43">
        <v>2</v>
      </c>
      <c r="KA26" s="43">
        <v>1</v>
      </c>
      <c r="KB26" s="43">
        <v>1</v>
      </c>
      <c r="KC26" s="43">
        <v>0</v>
      </c>
      <c r="KD26" s="43">
        <v>3</v>
      </c>
      <c r="KE26" s="43">
        <v>1</v>
      </c>
      <c r="KF26" s="43">
        <v>0</v>
      </c>
      <c r="KG26" s="43">
        <v>1</v>
      </c>
      <c r="KH26" s="43">
        <v>1</v>
      </c>
      <c r="KI26" s="43">
        <v>1</v>
      </c>
      <c r="KJ26" s="43">
        <v>2</v>
      </c>
      <c r="KK26" s="43">
        <v>0</v>
      </c>
      <c r="KL26" s="43">
        <v>0</v>
      </c>
      <c r="KM26" s="43">
        <v>0</v>
      </c>
      <c r="KN26" s="43">
        <v>3</v>
      </c>
      <c r="KO26" s="43">
        <v>0</v>
      </c>
    </row>
    <row r="27" spans="1:301" x14ac:dyDescent="0.4">
      <c r="A27" s="43">
        <v>23</v>
      </c>
      <c r="B27" s="43">
        <v>3</v>
      </c>
      <c r="C27" s="43">
        <v>1</v>
      </c>
      <c r="D27" s="43">
        <v>2</v>
      </c>
      <c r="E27" s="43">
        <v>2</v>
      </c>
      <c r="F27" s="43">
        <v>1</v>
      </c>
      <c r="G27" s="43">
        <v>0</v>
      </c>
      <c r="H27" s="43">
        <v>2</v>
      </c>
      <c r="I27" s="43">
        <v>2</v>
      </c>
      <c r="J27" s="43">
        <v>1</v>
      </c>
      <c r="K27" s="43">
        <v>3</v>
      </c>
      <c r="L27" s="43">
        <v>1</v>
      </c>
      <c r="M27" s="43">
        <v>0</v>
      </c>
      <c r="N27" s="43">
        <v>2</v>
      </c>
      <c r="O27" s="43">
        <v>1</v>
      </c>
      <c r="P27" s="43">
        <v>0</v>
      </c>
      <c r="Q27" s="43">
        <v>2</v>
      </c>
      <c r="R27" s="43">
        <v>1</v>
      </c>
      <c r="S27" s="43">
        <v>1</v>
      </c>
      <c r="T27" s="43">
        <v>3</v>
      </c>
      <c r="U27" s="43">
        <v>1</v>
      </c>
      <c r="V27" s="43">
        <v>0</v>
      </c>
      <c r="W27" s="43">
        <v>1</v>
      </c>
      <c r="X27" s="43">
        <v>1</v>
      </c>
      <c r="Y27" s="43">
        <v>1</v>
      </c>
      <c r="Z27" s="43">
        <v>2</v>
      </c>
      <c r="AA27" s="43">
        <v>2</v>
      </c>
      <c r="AB27" s="43">
        <v>0</v>
      </c>
      <c r="AC27" s="43">
        <v>2</v>
      </c>
      <c r="AD27" s="43">
        <v>2</v>
      </c>
      <c r="AE27" s="43">
        <v>1</v>
      </c>
      <c r="AF27" s="43">
        <v>2</v>
      </c>
      <c r="AG27" s="43">
        <v>0</v>
      </c>
      <c r="AH27" s="43">
        <v>2</v>
      </c>
      <c r="AI27" s="43">
        <v>2</v>
      </c>
      <c r="AJ27" s="43">
        <v>1</v>
      </c>
      <c r="AK27" s="43">
        <v>3</v>
      </c>
      <c r="AL27" s="43">
        <v>1</v>
      </c>
      <c r="AM27" s="43">
        <v>1</v>
      </c>
      <c r="AN27" s="43">
        <v>0</v>
      </c>
      <c r="AO27" s="43">
        <v>4</v>
      </c>
      <c r="AP27" s="43">
        <v>1</v>
      </c>
      <c r="AQ27" s="43">
        <v>1</v>
      </c>
      <c r="AR27" s="43">
        <v>3</v>
      </c>
      <c r="AS27" s="43">
        <v>1</v>
      </c>
      <c r="AT27" s="43">
        <v>0</v>
      </c>
      <c r="AU27" s="43">
        <v>2</v>
      </c>
      <c r="AV27" s="43">
        <v>0</v>
      </c>
      <c r="AW27" s="43">
        <v>0</v>
      </c>
      <c r="AX27" s="43">
        <v>2</v>
      </c>
      <c r="AY27" s="43">
        <v>2</v>
      </c>
      <c r="AZ27" s="43">
        <v>0</v>
      </c>
      <c r="BA27" s="43">
        <v>3</v>
      </c>
      <c r="BB27" s="43">
        <v>0</v>
      </c>
      <c r="BC27" s="43">
        <v>2</v>
      </c>
      <c r="BD27" s="43">
        <v>2</v>
      </c>
      <c r="BE27" s="43">
        <v>0</v>
      </c>
      <c r="BF27" s="43">
        <v>1</v>
      </c>
      <c r="BG27" s="43">
        <v>3</v>
      </c>
      <c r="BH27" s="43">
        <v>0</v>
      </c>
      <c r="BI27" s="43">
        <v>0</v>
      </c>
      <c r="BJ27" s="43">
        <v>0</v>
      </c>
      <c r="BK27" s="43">
        <v>1</v>
      </c>
      <c r="BL27" s="43">
        <v>2</v>
      </c>
      <c r="BM27" s="43">
        <v>2</v>
      </c>
      <c r="BN27" s="43">
        <v>1</v>
      </c>
      <c r="BO27" s="43">
        <v>2</v>
      </c>
      <c r="BP27" s="43">
        <v>4</v>
      </c>
      <c r="BQ27" s="43">
        <v>0</v>
      </c>
      <c r="BR27" s="43">
        <v>0</v>
      </c>
      <c r="BS27" s="43">
        <v>3</v>
      </c>
      <c r="BT27" s="43">
        <v>2</v>
      </c>
      <c r="BU27" s="43">
        <v>1</v>
      </c>
      <c r="BV27" s="43">
        <v>3</v>
      </c>
      <c r="BW27" s="43">
        <v>0</v>
      </c>
      <c r="BX27" s="43">
        <v>1</v>
      </c>
      <c r="BY27" s="43">
        <v>2</v>
      </c>
      <c r="BZ27" s="43">
        <v>2</v>
      </c>
      <c r="CA27" s="43">
        <v>2</v>
      </c>
      <c r="CB27" s="43">
        <v>2</v>
      </c>
      <c r="CC27" s="43">
        <v>0</v>
      </c>
      <c r="CD27" s="43">
        <v>1</v>
      </c>
      <c r="CE27" s="43">
        <v>3</v>
      </c>
      <c r="CF27" s="43">
        <v>1</v>
      </c>
      <c r="CG27" s="43">
        <v>0</v>
      </c>
      <c r="CH27" s="43">
        <v>2</v>
      </c>
      <c r="CI27" s="43">
        <v>1</v>
      </c>
      <c r="CJ27" s="43">
        <v>0</v>
      </c>
      <c r="CK27" s="43">
        <v>2</v>
      </c>
      <c r="CL27" s="43">
        <v>2</v>
      </c>
      <c r="CM27" s="43">
        <v>1</v>
      </c>
      <c r="CN27" s="43">
        <v>0</v>
      </c>
      <c r="CO27" s="43">
        <v>0</v>
      </c>
      <c r="CP27" s="43">
        <v>1</v>
      </c>
      <c r="CQ27" s="43">
        <v>3</v>
      </c>
      <c r="CR27" s="43">
        <v>1</v>
      </c>
      <c r="CS27" s="43">
        <v>1</v>
      </c>
      <c r="CT27" s="43">
        <v>2</v>
      </c>
      <c r="CU27" s="43">
        <v>1</v>
      </c>
      <c r="CV27" s="43">
        <v>2</v>
      </c>
      <c r="CW27" s="43">
        <v>4</v>
      </c>
      <c r="CX27" s="43">
        <v>1</v>
      </c>
      <c r="CY27" s="43">
        <v>3</v>
      </c>
      <c r="CZ27" s="43">
        <v>2</v>
      </c>
      <c r="DA27" s="43">
        <v>2</v>
      </c>
      <c r="DB27" s="43">
        <v>0</v>
      </c>
      <c r="DC27" s="43">
        <v>3</v>
      </c>
      <c r="DD27" s="43">
        <v>0</v>
      </c>
      <c r="DE27" s="43">
        <v>1</v>
      </c>
      <c r="DF27" s="43">
        <v>1</v>
      </c>
      <c r="DG27" s="43">
        <v>1</v>
      </c>
      <c r="DH27" s="43">
        <v>1</v>
      </c>
      <c r="DI27" s="43">
        <v>2</v>
      </c>
      <c r="DJ27" s="43">
        <v>1</v>
      </c>
      <c r="DK27" s="43">
        <v>0</v>
      </c>
      <c r="DL27" s="43">
        <v>1</v>
      </c>
      <c r="DM27" s="43">
        <v>0</v>
      </c>
      <c r="DN27" s="43">
        <v>0</v>
      </c>
      <c r="DO27" s="43">
        <v>3</v>
      </c>
      <c r="DP27" s="43">
        <v>0</v>
      </c>
      <c r="DQ27" s="43">
        <v>1</v>
      </c>
      <c r="DR27" s="43">
        <v>1</v>
      </c>
      <c r="DS27" s="43">
        <v>3</v>
      </c>
      <c r="DT27" s="43">
        <v>0</v>
      </c>
      <c r="DU27" s="43">
        <v>3</v>
      </c>
      <c r="DV27" s="43">
        <v>2</v>
      </c>
      <c r="DW27" s="43">
        <v>0</v>
      </c>
      <c r="DX27" s="43">
        <v>3</v>
      </c>
      <c r="DY27" s="43">
        <v>0</v>
      </c>
      <c r="DZ27" s="43">
        <v>0</v>
      </c>
      <c r="EA27" s="43">
        <v>4</v>
      </c>
      <c r="EB27" s="43">
        <v>1</v>
      </c>
      <c r="EC27" s="43">
        <v>0</v>
      </c>
      <c r="ED27" s="43">
        <v>3</v>
      </c>
      <c r="EE27" s="43">
        <v>2</v>
      </c>
      <c r="EF27" s="43">
        <v>0</v>
      </c>
      <c r="EG27" s="43">
        <v>2</v>
      </c>
      <c r="EH27" s="43">
        <v>2</v>
      </c>
      <c r="EI27" s="43">
        <v>1</v>
      </c>
      <c r="EJ27" s="43">
        <v>2</v>
      </c>
      <c r="EK27" s="43">
        <v>0</v>
      </c>
      <c r="EL27" s="43">
        <v>2</v>
      </c>
      <c r="EM27" s="43">
        <v>3</v>
      </c>
      <c r="EN27" s="43">
        <v>2</v>
      </c>
      <c r="EO27" s="43">
        <v>0</v>
      </c>
      <c r="EP27" s="43">
        <v>2</v>
      </c>
      <c r="EQ27" s="43">
        <v>0</v>
      </c>
      <c r="ER27" s="43">
        <v>1</v>
      </c>
      <c r="ES27" s="43">
        <v>3</v>
      </c>
      <c r="ET27" s="43">
        <v>1</v>
      </c>
      <c r="EU27" s="43">
        <v>1</v>
      </c>
      <c r="EV27" s="43">
        <v>3</v>
      </c>
      <c r="EW27" s="43">
        <v>1</v>
      </c>
      <c r="EX27" s="43">
        <v>2</v>
      </c>
      <c r="EY27" s="43">
        <v>1</v>
      </c>
      <c r="EZ27" s="43">
        <v>0</v>
      </c>
      <c r="FA27" s="43">
        <v>1</v>
      </c>
      <c r="FB27" s="43">
        <v>2</v>
      </c>
      <c r="FC27" s="43">
        <v>1</v>
      </c>
      <c r="FD27" s="43">
        <v>0</v>
      </c>
      <c r="FE27" s="43">
        <v>3</v>
      </c>
      <c r="FF27" s="43">
        <v>0</v>
      </c>
      <c r="FG27" s="43">
        <v>0</v>
      </c>
      <c r="FH27" s="43">
        <v>2</v>
      </c>
      <c r="FI27" s="43">
        <v>1</v>
      </c>
      <c r="FJ27" s="43">
        <v>1</v>
      </c>
      <c r="FK27" s="43">
        <v>4</v>
      </c>
      <c r="FL27" s="43">
        <v>1</v>
      </c>
      <c r="FM27" s="43">
        <v>1</v>
      </c>
      <c r="FN27" s="43">
        <v>1</v>
      </c>
      <c r="FO27" s="43">
        <v>1</v>
      </c>
      <c r="FP27" s="43">
        <v>1</v>
      </c>
      <c r="FQ27" s="43">
        <v>2</v>
      </c>
      <c r="FR27" s="43">
        <v>0</v>
      </c>
      <c r="FS27" s="43">
        <v>0</v>
      </c>
      <c r="FT27" s="43">
        <v>2</v>
      </c>
      <c r="FU27" s="43">
        <v>0</v>
      </c>
      <c r="FV27" s="43">
        <v>0</v>
      </c>
      <c r="FW27" s="43">
        <v>1</v>
      </c>
      <c r="FX27" s="43">
        <v>1</v>
      </c>
      <c r="FY27" s="43">
        <v>0</v>
      </c>
      <c r="FZ27" s="43">
        <v>2</v>
      </c>
      <c r="GA27" s="43">
        <v>1</v>
      </c>
      <c r="GB27" s="43">
        <v>1</v>
      </c>
      <c r="GC27" s="43">
        <v>4</v>
      </c>
      <c r="GD27" s="43">
        <v>0</v>
      </c>
      <c r="GE27" s="43">
        <v>0</v>
      </c>
      <c r="GF27" s="43">
        <v>0</v>
      </c>
      <c r="GG27" s="43">
        <v>2</v>
      </c>
      <c r="GH27" s="43">
        <v>0</v>
      </c>
      <c r="GI27" s="43">
        <v>1</v>
      </c>
      <c r="GJ27" s="43">
        <v>0</v>
      </c>
      <c r="GK27" s="43">
        <v>1</v>
      </c>
      <c r="GL27" s="43">
        <v>3</v>
      </c>
      <c r="GM27" s="43">
        <v>0</v>
      </c>
      <c r="GN27" s="43">
        <v>1</v>
      </c>
      <c r="GO27" s="43">
        <v>3</v>
      </c>
      <c r="GP27" s="43">
        <v>1</v>
      </c>
      <c r="GQ27" s="43">
        <v>1</v>
      </c>
      <c r="GR27" s="43">
        <v>2</v>
      </c>
      <c r="GS27" s="43">
        <v>1</v>
      </c>
      <c r="GT27" s="43">
        <v>0</v>
      </c>
      <c r="GU27" s="43">
        <v>4</v>
      </c>
      <c r="GV27" s="43">
        <v>1</v>
      </c>
      <c r="GW27" s="43">
        <v>1</v>
      </c>
      <c r="GX27" s="43">
        <v>2</v>
      </c>
      <c r="GY27" s="43">
        <v>1</v>
      </c>
      <c r="GZ27" s="43">
        <v>2</v>
      </c>
      <c r="HA27" s="43">
        <v>1</v>
      </c>
      <c r="HB27" s="43">
        <v>0</v>
      </c>
      <c r="HC27" s="43">
        <v>2</v>
      </c>
      <c r="HD27" s="43">
        <v>2</v>
      </c>
      <c r="HE27" s="43">
        <v>2</v>
      </c>
      <c r="HF27" s="43">
        <v>0</v>
      </c>
      <c r="HG27" s="43">
        <v>2</v>
      </c>
      <c r="HH27" s="43">
        <v>0</v>
      </c>
      <c r="HI27" s="43">
        <v>1</v>
      </c>
      <c r="HJ27" s="43">
        <v>3</v>
      </c>
      <c r="HK27" s="43">
        <v>1</v>
      </c>
      <c r="HL27" s="43">
        <v>0</v>
      </c>
      <c r="HM27" s="43">
        <v>1</v>
      </c>
      <c r="HN27" s="43">
        <v>1</v>
      </c>
      <c r="HO27" s="43">
        <v>0</v>
      </c>
      <c r="HP27" s="43">
        <v>2</v>
      </c>
      <c r="HQ27" s="43">
        <v>0</v>
      </c>
      <c r="HR27" s="43">
        <v>0</v>
      </c>
      <c r="HS27" s="43">
        <v>3</v>
      </c>
      <c r="HT27" s="43">
        <v>1</v>
      </c>
      <c r="HU27" s="43">
        <v>2</v>
      </c>
      <c r="HV27" s="43">
        <v>2</v>
      </c>
      <c r="HW27" s="43">
        <v>0</v>
      </c>
      <c r="HX27" s="43">
        <v>1</v>
      </c>
      <c r="HY27" s="43">
        <v>3</v>
      </c>
      <c r="HZ27" s="43">
        <v>1</v>
      </c>
      <c r="IA27" s="43">
        <v>1</v>
      </c>
      <c r="IB27" s="43">
        <v>2</v>
      </c>
      <c r="IC27" s="43">
        <v>1</v>
      </c>
      <c r="ID27" s="43">
        <v>0</v>
      </c>
      <c r="IE27" s="43">
        <v>2</v>
      </c>
      <c r="IF27" s="43">
        <v>0</v>
      </c>
      <c r="IG27" s="43">
        <v>2</v>
      </c>
      <c r="IH27" s="43">
        <v>3</v>
      </c>
      <c r="II27" s="43">
        <v>0</v>
      </c>
      <c r="IJ27" s="43">
        <v>0</v>
      </c>
      <c r="IK27" s="43">
        <v>3</v>
      </c>
      <c r="IL27" s="43">
        <v>3</v>
      </c>
      <c r="IM27" s="43">
        <v>0</v>
      </c>
      <c r="IN27" s="43">
        <v>2</v>
      </c>
      <c r="IO27" s="43">
        <v>0</v>
      </c>
      <c r="IP27" s="43">
        <v>0</v>
      </c>
      <c r="IQ27" s="43">
        <v>3</v>
      </c>
      <c r="IR27" s="43">
        <v>0</v>
      </c>
      <c r="IS27" s="43">
        <v>1</v>
      </c>
      <c r="IT27" s="43">
        <v>3</v>
      </c>
      <c r="IU27" s="43">
        <v>2</v>
      </c>
      <c r="IV27" s="43">
        <v>1</v>
      </c>
      <c r="IW27" s="43">
        <v>3</v>
      </c>
      <c r="IX27" s="43">
        <v>3</v>
      </c>
      <c r="IY27" s="43">
        <v>0</v>
      </c>
      <c r="IZ27" s="43">
        <v>3</v>
      </c>
      <c r="JA27" s="43">
        <v>2</v>
      </c>
      <c r="JB27" s="43">
        <v>0</v>
      </c>
      <c r="JC27" s="43">
        <v>3</v>
      </c>
      <c r="JD27" s="43">
        <v>0</v>
      </c>
      <c r="JE27" s="43">
        <v>1</v>
      </c>
      <c r="JF27" s="43">
        <v>1</v>
      </c>
      <c r="JG27" s="43">
        <v>2</v>
      </c>
      <c r="JH27" s="43">
        <v>2</v>
      </c>
      <c r="JI27" s="43">
        <v>3</v>
      </c>
      <c r="JJ27" s="43">
        <v>3</v>
      </c>
      <c r="JK27" s="43">
        <v>0</v>
      </c>
      <c r="JL27" s="43">
        <v>2</v>
      </c>
      <c r="JM27" s="43">
        <v>1</v>
      </c>
      <c r="JN27" s="43">
        <v>1</v>
      </c>
      <c r="JO27" s="43">
        <v>3</v>
      </c>
      <c r="JP27" s="43">
        <v>0</v>
      </c>
      <c r="JQ27" s="43">
        <v>1</v>
      </c>
      <c r="JR27" s="43">
        <v>3</v>
      </c>
      <c r="JS27" s="43">
        <v>0</v>
      </c>
      <c r="JT27" s="43">
        <v>0</v>
      </c>
      <c r="JU27" s="43">
        <v>2</v>
      </c>
      <c r="JV27" s="43">
        <v>2</v>
      </c>
      <c r="JW27" s="43">
        <v>0</v>
      </c>
      <c r="JX27" s="43">
        <v>4</v>
      </c>
      <c r="JY27" s="43">
        <v>1</v>
      </c>
      <c r="JZ27" s="43">
        <v>0</v>
      </c>
      <c r="KA27" s="43">
        <v>2</v>
      </c>
      <c r="KB27" s="43">
        <v>0</v>
      </c>
      <c r="KC27" s="43">
        <v>1</v>
      </c>
      <c r="KD27" s="43">
        <v>1</v>
      </c>
      <c r="KE27" s="43">
        <v>0</v>
      </c>
      <c r="KF27" s="43">
        <v>0</v>
      </c>
      <c r="KG27" s="43">
        <v>3</v>
      </c>
      <c r="KH27" s="43">
        <v>0</v>
      </c>
      <c r="KI27" s="43">
        <v>1</v>
      </c>
      <c r="KJ27" s="43">
        <v>4</v>
      </c>
      <c r="KK27" s="43">
        <v>1</v>
      </c>
      <c r="KL27" s="43">
        <v>2</v>
      </c>
      <c r="KM27" s="43">
        <v>4</v>
      </c>
      <c r="KN27" s="43">
        <v>2</v>
      </c>
      <c r="KO27" s="43">
        <v>1</v>
      </c>
    </row>
    <row r="28" spans="1:301" x14ac:dyDescent="0.4">
      <c r="A28" s="43">
        <v>24</v>
      </c>
      <c r="B28" s="43">
        <v>2</v>
      </c>
      <c r="C28" s="43">
        <v>1</v>
      </c>
      <c r="D28" s="43">
        <v>1</v>
      </c>
      <c r="E28" s="43">
        <v>3</v>
      </c>
      <c r="F28" s="43">
        <v>1</v>
      </c>
      <c r="G28" s="43">
        <v>1</v>
      </c>
      <c r="H28" s="43">
        <v>1</v>
      </c>
      <c r="I28" s="43">
        <v>2</v>
      </c>
      <c r="J28" s="43">
        <v>1</v>
      </c>
      <c r="K28" s="43">
        <v>2</v>
      </c>
      <c r="L28" s="43">
        <v>0</v>
      </c>
      <c r="M28" s="43">
        <v>2</v>
      </c>
      <c r="N28" s="43">
        <v>3</v>
      </c>
      <c r="O28" s="43">
        <v>0</v>
      </c>
      <c r="P28" s="43">
        <v>2</v>
      </c>
      <c r="Q28" s="43">
        <v>2</v>
      </c>
      <c r="R28" s="43">
        <v>1</v>
      </c>
      <c r="S28" s="43">
        <v>0</v>
      </c>
      <c r="T28" s="43">
        <v>2</v>
      </c>
      <c r="U28" s="43">
        <v>2</v>
      </c>
      <c r="V28" s="43">
        <v>0</v>
      </c>
      <c r="W28" s="43">
        <v>2</v>
      </c>
      <c r="X28" s="43">
        <v>0</v>
      </c>
      <c r="Y28" s="43">
        <v>0</v>
      </c>
      <c r="Z28" s="43">
        <v>4</v>
      </c>
      <c r="AA28" s="43">
        <v>0</v>
      </c>
      <c r="AB28" s="43">
        <v>1</v>
      </c>
      <c r="AC28" s="43">
        <v>3</v>
      </c>
      <c r="AD28" s="43">
        <v>0</v>
      </c>
      <c r="AE28" s="43">
        <v>1</v>
      </c>
      <c r="AF28" s="43">
        <v>4</v>
      </c>
      <c r="AG28" s="43">
        <v>2</v>
      </c>
      <c r="AH28" s="43">
        <v>2</v>
      </c>
      <c r="AI28" s="43">
        <v>2</v>
      </c>
      <c r="AJ28" s="43">
        <v>1</v>
      </c>
      <c r="AK28" s="43">
        <v>1</v>
      </c>
      <c r="AL28" s="43">
        <v>2</v>
      </c>
      <c r="AM28" s="43">
        <v>2</v>
      </c>
      <c r="AN28" s="43">
        <v>1</v>
      </c>
      <c r="AO28" s="43">
        <v>2</v>
      </c>
      <c r="AP28" s="43">
        <v>0</v>
      </c>
      <c r="AQ28" s="43">
        <v>1</v>
      </c>
      <c r="AR28" s="43">
        <v>4</v>
      </c>
      <c r="AS28" s="43">
        <v>0</v>
      </c>
      <c r="AT28" s="43">
        <v>0</v>
      </c>
      <c r="AU28" s="43">
        <v>3</v>
      </c>
      <c r="AV28" s="43">
        <v>2</v>
      </c>
      <c r="AW28" s="43">
        <v>0</v>
      </c>
      <c r="AX28" s="43">
        <v>2</v>
      </c>
      <c r="AY28" s="43">
        <v>0</v>
      </c>
      <c r="AZ28" s="43">
        <v>0</v>
      </c>
      <c r="BA28" s="43">
        <v>4</v>
      </c>
      <c r="BB28" s="43">
        <v>1</v>
      </c>
      <c r="BC28" s="43">
        <v>0</v>
      </c>
      <c r="BD28" s="43">
        <v>2</v>
      </c>
      <c r="BE28" s="43">
        <v>1</v>
      </c>
      <c r="BF28" s="43">
        <v>0</v>
      </c>
      <c r="BG28" s="43">
        <v>3</v>
      </c>
      <c r="BH28" s="43">
        <v>1</v>
      </c>
      <c r="BI28" s="43">
        <v>1</v>
      </c>
      <c r="BJ28" s="43">
        <v>1</v>
      </c>
      <c r="BK28" s="43">
        <v>0</v>
      </c>
      <c r="BL28" s="43">
        <v>1</v>
      </c>
      <c r="BM28" s="43">
        <v>1</v>
      </c>
      <c r="BN28" s="43">
        <v>2</v>
      </c>
      <c r="BO28" s="43">
        <v>1</v>
      </c>
      <c r="BP28" s="43">
        <v>1</v>
      </c>
      <c r="BQ28" s="43">
        <v>1</v>
      </c>
      <c r="BR28" s="43">
        <v>1</v>
      </c>
      <c r="BS28" s="43">
        <v>1</v>
      </c>
      <c r="BT28" s="43">
        <v>1</v>
      </c>
      <c r="BU28" s="43">
        <v>0</v>
      </c>
      <c r="BV28" s="43">
        <v>2</v>
      </c>
      <c r="BW28" s="43">
        <v>2</v>
      </c>
      <c r="BX28" s="43">
        <v>1</v>
      </c>
      <c r="BY28" s="43">
        <v>1</v>
      </c>
      <c r="BZ28" s="43">
        <v>1</v>
      </c>
      <c r="CA28" s="43">
        <v>1</v>
      </c>
      <c r="CB28" s="43">
        <v>1</v>
      </c>
      <c r="CC28" s="43">
        <v>2</v>
      </c>
      <c r="CD28" s="43">
        <v>0</v>
      </c>
      <c r="CE28" s="43">
        <v>1</v>
      </c>
      <c r="CF28" s="43">
        <v>3</v>
      </c>
      <c r="CG28" s="43">
        <v>1</v>
      </c>
      <c r="CH28" s="43">
        <v>2</v>
      </c>
      <c r="CI28" s="43">
        <v>0</v>
      </c>
      <c r="CJ28" s="43">
        <v>0</v>
      </c>
      <c r="CK28" s="43">
        <v>3</v>
      </c>
      <c r="CL28" s="43">
        <v>0</v>
      </c>
      <c r="CM28" s="43">
        <v>1</v>
      </c>
      <c r="CN28" s="43">
        <v>3</v>
      </c>
      <c r="CO28" s="43">
        <v>2</v>
      </c>
      <c r="CP28" s="43">
        <v>1</v>
      </c>
      <c r="CQ28" s="43">
        <v>1</v>
      </c>
      <c r="CR28" s="43">
        <v>0</v>
      </c>
      <c r="CS28" s="43">
        <v>1</v>
      </c>
      <c r="CT28" s="43">
        <v>3</v>
      </c>
      <c r="CU28" s="43">
        <v>0</v>
      </c>
      <c r="CV28" s="43">
        <v>1</v>
      </c>
      <c r="CW28" s="43">
        <v>1</v>
      </c>
      <c r="CX28" s="43">
        <v>2</v>
      </c>
      <c r="CY28" s="43">
        <v>0</v>
      </c>
      <c r="CZ28" s="43">
        <v>3</v>
      </c>
      <c r="DA28" s="43">
        <v>1</v>
      </c>
      <c r="DB28" s="43">
        <v>3</v>
      </c>
      <c r="DC28" s="43">
        <v>2</v>
      </c>
      <c r="DD28" s="43">
        <v>0</v>
      </c>
      <c r="DE28" s="43">
        <v>1</v>
      </c>
      <c r="DF28" s="43">
        <v>3</v>
      </c>
      <c r="DG28" s="43">
        <v>1</v>
      </c>
      <c r="DH28" s="43">
        <v>0</v>
      </c>
      <c r="DI28" s="43">
        <v>1</v>
      </c>
      <c r="DJ28" s="43">
        <v>2</v>
      </c>
      <c r="DK28" s="43">
        <v>0</v>
      </c>
      <c r="DL28" s="43">
        <v>1</v>
      </c>
      <c r="DM28" s="43">
        <v>0</v>
      </c>
      <c r="DN28" s="43">
        <v>1</v>
      </c>
      <c r="DO28" s="43">
        <v>3</v>
      </c>
      <c r="DP28" s="43">
        <v>2</v>
      </c>
      <c r="DQ28" s="43">
        <v>0</v>
      </c>
      <c r="DR28" s="43">
        <v>3</v>
      </c>
      <c r="DS28" s="43">
        <v>0</v>
      </c>
      <c r="DT28" s="43">
        <v>1</v>
      </c>
      <c r="DU28" s="43">
        <v>2</v>
      </c>
      <c r="DV28" s="43">
        <v>0</v>
      </c>
      <c r="DW28" s="43">
        <v>0</v>
      </c>
      <c r="DX28" s="43">
        <v>2</v>
      </c>
      <c r="DY28" s="43">
        <v>0</v>
      </c>
      <c r="DZ28" s="43">
        <v>2</v>
      </c>
      <c r="EA28" s="43">
        <v>3</v>
      </c>
      <c r="EB28" s="43">
        <v>2</v>
      </c>
      <c r="EC28" s="43">
        <v>0</v>
      </c>
      <c r="ED28" s="43">
        <v>2</v>
      </c>
      <c r="EE28" s="43">
        <v>0</v>
      </c>
      <c r="EF28" s="43">
        <v>1</v>
      </c>
      <c r="EG28" s="43">
        <v>1</v>
      </c>
      <c r="EH28" s="43">
        <v>1</v>
      </c>
      <c r="EI28" s="43">
        <v>1</v>
      </c>
      <c r="EJ28" s="43">
        <v>1</v>
      </c>
      <c r="EK28" s="43">
        <v>2</v>
      </c>
      <c r="EL28" s="43">
        <v>0</v>
      </c>
      <c r="EM28" s="43">
        <v>3</v>
      </c>
      <c r="EN28" s="43">
        <v>2</v>
      </c>
      <c r="EO28" s="43">
        <v>0</v>
      </c>
      <c r="EP28" s="43">
        <v>3</v>
      </c>
      <c r="EQ28" s="43">
        <v>1</v>
      </c>
      <c r="ER28" s="43">
        <v>1</v>
      </c>
      <c r="ES28" s="43">
        <v>2</v>
      </c>
      <c r="ET28" s="43">
        <v>0</v>
      </c>
      <c r="EU28" s="43">
        <v>2</v>
      </c>
      <c r="EV28" s="43">
        <v>3</v>
      </c>
      <c r="EW28" s="43">
        <v>2</v>
      </c>
      <c r="EX28" s="43">
        <v>0</v>
      </c>
      <c r="EY28" s="43">
        <v>4</v>
      </c>
      <c r="EZ28" s="43">
        <v>1</v>
      </c>
      <c r="FA28" s="43">
        <v>0</v>
      </c>
      <c r="FB28" s="43">
        <v>4</v>
      </c>
      <c r="FC28" s="43">
        <v>1</v>
      </c>
      <c r="FD28" s="43">
        <v>1</v>
      </c>
      <c r="FE28" s="43">
        <v>4</v>
      </c>
      <c r="FF28" s="43">
        <v>1</v>
      </c>
      <c r="FG28" s="43">
        <v>1</v>
      </c>
      <c r="FH28" s="43">
        <v>2</v>
      </c>
      <c r="FI28" s="43">
        <v>0</v>
      </c>
      <c r="FJ28" s="43">
        <v>1</v>
      </c>
      <c r="FK28" s="43">
        <v>1</v>
      </c>
      <c r="FL28" s="43">
        <v>1</v>
      </c>
      <c r="FM28" s="43">
        <v>1</v>
      </c>
      <c r="FN28" s="43">
        <v>2</v>
      </c>
      <c r="FO28" s="43">
        <v>1</v>
      </c>
      <c r="FP28" s="43">
        <v>1</v>
      </c>
      <c r="FQ28" s="43">
        <v>3</v>
      </c>
      <c r="FR28" s="43">
        <v>0</v>
      </c>
      <c r="FS28" s="43">
        <v>0</v>
      </c>
      <c r="FT28" s="43">
        <v>2</v>
      </c>
      <c r="FU28" s="43">
        <v>1</v>
      </c>
      <c r="FV28" s="43">
        <v>1</v>
      </c>
      <c r="FW28" s="43">
        <v>3</v>
      </c>
      <c r="FX28" s="43">
        <v>1</v>
      </c>
      <c r="FY28" s="43">
        <v>1</v>
      </c>
      <c r="FZ28" s="43">
        <v>3</v>
      </c>
      <c r="GA28" s="43">
        <v>1</v>
      </c>
      <c r="GB28" s="43">
        <v>2</v>
      </c>
      <c r="GC28" s="43">
        <v>3</v>
      </c>
      <c r="GD28" s="43">
        <v>1</v>
      </c>
      <c r="GE28" s="43">
        <v>2</v>
      </c>
      <c r="GF28" s="43">
        <v>2</v>
      </c>
      <c r="GG28" s="43">
        <v>2</v>
      </c>
      <c r="GH28" s="43">
        <v>1</v>
      </c>
      <c r="GI28" s="43">
        <v>1</v>
      </c>
      <c r="GJ28" s="43">
        <v>0</v>
      </c>
      <c r="GK28" s="43">
        <v>2</v>
      </c>
      <c r="GL28" s="43">
        <v>1</v>
      </c>
      <c r="GM28" s="43">
        <v>2</v>
      </c>
      <c r="GN28" s="43">
        <v>2</v>
      </c>
      <c r="GO28" s="43">
        <v>2</v>
      </c>
      <c r="GP28" s="43">
        <v>0</v>
      </c>
      <c r="GQ28" s="43">
        <v>2</v>
      </c>
      <c r="GR28" s="43">
        <v>3</v>
      </c>
      <c r="GS28" s="43">
        <v>0</v>
      </c>
      <c r="GT28" s="43">
        <v>0</v>
      </c>
      <c r="GU28" s="43">
        <v>2</v>
      </c>
      <c r="GV28" s="43">
        <v>1</v>
      </c>
      <c r="GW28" s="43">
        <v>1</v>
      </c>
      <c r="GX28" s="43">
        <v>2</v>
      </c>
      <c r="GY28" s="43">
        <v>0</v>
      </c>
      <c r="GZ28" s="43">
        <v>2</v>
      </c>
      <c r="HA28" s="43">
        <v>3</v>
      </c>
      <c r="HB28" s="43">
        <v>1</v>
      </c>
      <c r="HC28" s="43">
        <v>0</v>
      </c>
      <c r="HD28" s="43">
        <v>2</v>
      </c>
      <c r="HE28" s="43">
        <v>0</v>
      </c>
      <c r="HF28" s="43">
        <v>3</v>
      </c>
      <c r="HG28" s="43">
        <v>3</v>
      </c>
      <c r="HH28" s="43">
        <v>0</v>
      </c>
      <c r="HI28" s="43">
        <v>0</v>
      </c>
      <c r="HJ28" s="43">
        <v>2</v>
      </c>
      <c r="HK28" s="43">
        <v>1</v>
      </c>
      <c r="HL28" s="43">
        <v>1</v>
      </c>
      <c r="HM28" s="43">
        <v>1</v>
      </c>
      <c r="HN28" s="43">
        <v>0</v>
      </c>
      <c r="HO28" s="43">
        <v>0</v>
      </c>
      <c r="HP28" s="43">
        <v>3</v>
      </c>
      <c r="HQ28" s="43">
        <v>1</v>
      </c>
      <c r="HR28" s="43">
        <v>1</v>
      </c>
      <c r="HS28" s="43">
        <v>1</v>
      </c>
      <c r="HT28" s="43">
        <v>1</v>
      </c>
      <c r="HU28" s="43">
        <v>0</v>
      </c>
      <c r="HV28" s="43">
        <v>2</v>
      </c>
      <c r="HW28" s="43">
        <v>1</v>
      </c>
      <c r="HX28" s="43">
        <v>0</v>
      </c>
      <c r="HY28" s="43">
        <v>3</v>
      </c>
      <c r="HZ28" s="43">
        <v>1</v>
      </c>
      <c r="IA28" s="43">
        <v>1</v>
      </c>
      <c r="IB28" s="43">
        <v>2</v>
      </c>
      <c r="IC28" s="43">
        <v>1</v>
      </c>
      <c r="ID28" s="43">
        <v>2</v>
      </c>
      <c r="IE28" s="43">
        <v>4</v>
      </c>
      <c r="IF28" s="43">
        <v>3</v>
      </c>
      <c r="IG28" s="43">
        <v>0</v>
      </c>
      <c r="IH28" s="43">
        <v>2</v>
      </c>
      <c r="II28" s="43">
        <v>1</v>
      </c>
      <c r="IJ28" s="43">
        <v>1</v>
      </c>
      <c r="IK28" s="43">
        <v>3</v>
      </c>
      <c r="IL28" s="43">
        <v>0</v>
      </c>
      <c r="IM28" s="43">
        <v>1</v>
      </c>
      <c r="IN28" s="43">
        <v>4</v>
      </c>
      <c r="IO28" s="43">
        <v>1</v>
      </c>
      <c r="IP28" s="43">
        <v>0</v>
      </c>
      <c r="IQ28" s="43">
        <v>3</v>
      </c>
      <c r="IR28" s="43">
        <v>0</v>
      </c>
      <c r="IS28" s="43">
        <v>0</v>
      </c>
      <c r="IT28" s="43">
        <v>3</v>
      </c>
      <c r="IU28" s="43">
        <v>0</v>
      </c>
      <c r="IV28" s="43">
        <v>1</v>
      </c>
      <c r="IW28" s="43">
        <v>3</v>
      </c>
      <c r="IX28" s="43">
        <v>0</v>
      </c>
      <c r="IY28" s="43">
        <v>1</v>
      </c>
      <c r="IZ28" s="43">
        <v>1</v>
      </c>
      <c r="JA28" s="43">
        <v>2</v>
      </c>
      <c r="JB28" s="43">
        <v>1</v>
      </c>
      <c r="JC28" s="43">
        <v>3</v>
      </c>
      <c r="JD28" s="43">
        <v>2</v>
      </c>
      <c r="JE28" s="43">
        <v>1</v>
      </c>
      <c r="JF28" s="43">
        <v>4</v>
      </c>
      <c r="JG28" s="43">
        <v>0</v>
      </c>
      <c r="JH28" s="43">
        <v>0</v>
      </c>
      <c r="JI28" s="43">
        <v>3</v>
      </c>
      <c r="JJ28" s="43">
        <v>0</v>
      </c>
      <c r="JK28" s="43">
        <v>1</v>
      </c>
      <c r="JL28" s="43">
        <v>3</v>
      </c>
      <c r="JM28" s="43">
        <v>1</v>
      </c>
      <c r="JN28" s="43">
        <v>0</v>
      </c>
      <c r="JO28" s="43">
        <v>4</v>
      </c>
      <c r="JP28" s="43">
        <v>1</v>
      </c>
      <c r="JQ28" s="43">
        <v>1</v>
      </c>
      <c r="JR28" s="43">
        <v>2</v>
      </c>
      <c r="JS28" s="43">
        <v>1</v>
      </c>
      <c r="JT28" s="43">
        <v>2</v>
      </c>
      <c r="JU28" s="43">
        <v>4</v>
      </c>
      <c r="JV28" s="43">
        <v>2</v>
      </c>
      <c r="JW28" s="43">
        <v>0</v>
      </c>
      <c r="JX28" s="43">
        <v>3</v>
      </c>
      <c r="JY28" s="43">
        <v>1</v>
      </c>
      <c r="JZ28" s="43">
        <v>0</v>
      </c>
      <c r="KA28" s="43">
        <v>3</v>
      </c>
      <c r="KB28" s="43">
        <v>1</v>
      </c>
      <c r="KC28" s="43">
        <v>1</v>
      </c>
      <c r="KD28" s="43">
        <v>3</v>
      </c>
      <c r="KE28" s="43">
        <v>2</v>
      </c>
      <c r="KF28" s="43">
        <v>0</v>
      </c>
      <c r="KG28" s="43">
        <v>3</v>
      </c>
      <c r="KH28" s="43">
        <v>1</v>
      </c>
      <c r="KI28" s="43">
        <v>1</v>
      </c>
      <c r="KJ28" s="43">
        <v>1</v>
      </c>
      <c r="KK28" s="43">
        <v>1</v>
      </c>
      <c r="KL28" s="43">
        <v>1</v>
      </c>
      <c r="KM28" s="43">
        <v>2</v>
      </c>
      <c r="KN28" s="43">
        <v>1</v>
      </c>
      <c r="KO28" s="43">
        <v>1</v>
      </c>
    </row>
    <row r="29" spans="1:301" x14ac:dyDescent="0.4">
      <c r="A29" s="43">
        <v>25</v>
      </c>
      <c r="B29" s="43">
        <v>2</v>
      </c>
      <c r="C29" s="43">
        <v>1</v>
      </c>
      <c r="D29" s="43">
        <v>1</v>
      </c>
      <c r="E29" s="43">
        <v>3</v>
      </c>
      <c r="F29" s="43">
        <v>0</v>
      </c>
      <c r="G29" s="43">
        <v>0</v>
      </c>
      <c r="H29" s="43">
        <v>3</v>
      </c>
      <c r="I29" s="43">
        <v>2</v>
      </c>
      <c r="J29" s="43">
        <v>0</v>
      </c>
      <c r="K29" s="43">
        <v>3</v>
      </c>
      <c r="L29" s="43">
        <v>0</v>
      </c>
      <c r="M29" s="43">
        <v>0</v>
      </c>
      <c r="N29" s="43">
        <v>1</v>
      </c>
      <c r="O29" s="43">
        <v>1</v>
      </c>
      <c r="P29" s="43">
        <v>1</v>
      </c>
      <c r="Q29" s="43">
        <v>2</v>
      </c>
      <c r="R29" s="43">
        <v>0</v>
      </c>
      <c r="S29" s="43">
        <v>1</v>
      </c>
      <c r="T29" s="43">
        <v>1</v>
      </c>
      <c r="U29" s="43">
        <v>0</v>
      </c>
      <c r="V29" s="43">
        <v>1</v>
      </c>
      <c r="W29" s="43">
        <v>2</v>
      </c>
      <c r="X29" s="43">
        <v>2</v>
      </c>
      <c r="Y29" s="43">
        <v>2</v>
      </c>
      <c r="Z29" s="43">
        <v>2</v>
      </c>
      <c r="AA29" s="43">
        <v>0</v>
      </c>
      <c r="AB29" s="43">
        <v>0</v>
      </c>
      <c r="AC29" s="43">
        <v>2</v>
      </c>
      <c r="AD29" s="43">
        <v>2</v>
      </c>
      <c r="AE29" s="43">
        <v>0</v>
      </c>
      <c r="AF29" s="43">
        <v>1</v>
      </c>
      <c r="AG29" s="43">
        <v>0</v>
      </c>
      <c r="AH29" s="43">
        <v>0</v>
      </c>
      <c r="AI29" s="43">
        <v>2</v>
      </c>
      <c r="AJ29" s="43">
        <v>2</v>
      </c>
      <c r="AK29" s="43">
        <v>0</v>
      </c>
      <c r="AL29" s="43">
        <v>2</v>
      </c>
      <c r="AM29" s="43">
        <v>1</v>
      </c>
      <c r="AN29" s="43">
        <v>1</v>
      </c>
      <c r="AO29" s="43">
        <v>3</v>
      </c>
      <c r="AP29" s="43">
        <v>2</v>
      </c>
      <c r="AQ29" s="43">
        <v>1</v>
      </c>
      <c r="AR29" s="43">
        <v>2</v>
      </c>
      <c r="AS29" s="43">
        <v>1</v>
      </c>
      <c r="AT29" s="43">
        <v>2</v>
      </c>
      <c r="AU29" s="43">
        <v>3</v>
      </c>
      <c r="AV29" s="43">
        <v>1</v>
      </c>
      <c r="AW29" s="43">
        <v>0</v>
      </c>
      <c r="AX29" s="43">
        <v>3</v>
      </c>
      <c r="AY29" s="43">
        <v>0</v>
      </c>
      <c r="AZ29" s="43">
        <v>1</v>
      </c>
      <c r="BA29" s="43">
        <v>2</v>
      </c>
      <c r="BB29" s="43">
        <v>0</v>
      </c>
      <c r="BC29" s="43">
        <v>0</v>
      </c>
      <c r="BD29" s="43">
        <v>4</v>
      </c>
      <c r="BE29" s="43">
        <v>1</v>
      </c>
      <c r="BF29" s="43">
        <v>0</v>
      </c>
      <c r="BG29" s="43">
        <v>3</v>
      </c>
      <c r="BH29" s="43">
        <v>1</v>
      </c>
      <c r="BI29" s="43">
        <v>0</v>
      </c>
      <c r="BJ29" s="43">
        <v>3</v>
      </c>
      <c r="BK29" s="43">
        <v>0</v>
      </c>
      <c r="BL29" s="43">
        <v>2</v>
      </c>
      <c r="BM29" s="43">
        <v>3</v>
      </c>
      <c r="BN29" s="43">
        <v>0</v>
      </c>
      <c r="BO29" s="43">
        <v>1</v>
      </c>
      <c r="BP29" s="43">
        <v>2</v>
      </c>
      <c r="BQ29" s="43">
        <v>0</v>
      </c>
      <c r="BR29" s="43">
        <v>0</v>
      </c>
      <c r="BS29" s="43">
        <v>4</v>
      </c>
      <c r="BT29" s="43">
        <v>2</v>
      </c>
      <c r="BU29" s="43">
        <v>2</v>
      </c>
      <c r="BV29" s="43">
        <v>3</v>
      </c>
      <c r="BW29" s="43">
        <v>2</v>
      </c>
      <c r="BX29" s="43">
        <v>0</v>
      </c>
      <c r="BY29" s="43">
        <v>3</v>
      </c>
      <c r="BZ29" s="43">
        <v>1</v>
      </c>
      <c r="CA29" s="43">
        <v>0</v>
      </c>
      <c r="CB29" s="43">
        <v>3</v>
      </c>
      <c r="CC29" s="43">
        <v>0</v>
      </c>
      <c r="CD29" s="43">
        <v>1</v>
      </c>
      <c r="CE29" s="43">
        <v>3</v>
      </c>
      <c r="CF29" s="43">
        <v>1</v>
      </c>
      <c r="CG29" s="43">
        <v>0</v>
      </c>
      <c r="CH29" s="43">
        <v>2</v>
      </c>
      <c r="CI29" s="43">
        <v>3</v>
      </c>
      <c r="CJ29" s="43">
        <v>2</v>
      </c>
      <c r="CK29" s="43">
        <v>2</v>
      </c>
      <c r="CL29" s="43">
        <v>0</v>
      </c>
      <c r="CM29" s="43">
        <v>0</v>
      </c>
      <c r="CN29" s="43">
        <v>2</v>
      </c>
      <c r="CO29" s="43">
        <v>0</v>
      </c>
      <c r="CP29" s="43">
        <v>1</v>
      </c>
      <c r="CQ29" s="43">
        <v>4</v>
      </c>
      <c r="CR29" s="43">
        <v>0</v>
      </c>
      <c r="CS29" s="43">
        <v>0</v>
      </c>
      <c r="CT29" s="43">
        <v>3</v>
      </c>
      <c r="CU29" s="43">
        <v>0</v>
      </c>
      <c r="CV29" s="43">
        <v>0</v>
      </c>
      <c r="CW29" s="43">
        <v>3</v>
      </c>
      <c r="CX29" s="43">
        <v>1</v>
      </c>
      <c r="CY29" s="43">
        <v>2</v>
      </c>
      <c r="CZ29" s="43">
        <v>1</v>
      </c>
      <c r="DA29" s="43">
        <v>3</v>
      </c>
      <c r="DB29" s="43">
        <v>3</v>
      </c>
      <c r="DC29" s="43">
        <v>4</v>
      </c>
      <c r="DD29" s="43">
        <v>0</v>
      </c>
      <c r="DE29" s="43">
        <v>1</v>
      </c>
      <c r="DF29" s="43">
        <v>2</v>
      </c>
      <c r="DG29" s="43">
        <v>1</v>
      </c>
      <c r="DH29" s="43">
        <v>1</v>
      </c>
      <c r="DI29" s="43">
        <v>3</v>
      </c>
      <c r="DJ29" s="43">
        <v>1</v>
      </c>
      <c r="DK29" s="43">
        <v>0</v>
      </c>
      <c r="DL29" s="43">
        <v>3</v>
      </c>
      <c r="DM29" s="43">
        <v>1</v>
      </c>
      <c r="DN29" s="43">
        <v>0</v>
      </c>
      <c r="DO29" s="43">
        <v>4</v>
      </c>
      <c r="DP29" s="43">
        <v>2</v>
      </c>
      <c r="DQ29" s="43">
        <v>2</v>
      </c>
      <c r="DR29" s="43">
        <v>1</v>
      </c>
      <c r="DS29" s="43">
        <v>1</v>
      </c>
      <c r="DT29" s="43">
        <v>1</v>
      </c>
      <c r="DU29" s="43">
        <v>3</v>
      </c>
      <c r="DV29" s="43">
        <v>3</v>
      </c>
      <c r="DW29" s="43">
        <v>0</v>
      </c>
      <c r="DX29" s="43">
        <v>2</v>
      </c>
      <c r="DY29" s="43">
        <v>0</v>
      </c>
      <c r="DZ29" s="43">
        <v>0</v>
      </c>
      <c r="EA29" s="43">
        <v>2</v>
      </c>
      <c r="EB29" s="43">
        <v>1</v>
      </c>
      <c r="EC29" s="43">
        <v>1</v>
      </c>
      <c r="ED29" s="43">
        <v>1</v>
      </c>
      <c r="EE29" s="43">
        <v>1</v>
      </c>
      <c r="EF29" s="43">
        <v>1</v>
      </c>
      <c r="EG29" s="43">
        <v>2</v>
      </c>
      <c r="EH29" s="43">
        <v>0</v>
      </c>
      <c r="EI29" s="43">
        <v>1</v>
      </c>
      <c r="EJ29" s="43">
        <v>1</v>
      </c>
      <c r="EK29" s="43">
        <v>1</v>
      </c>
      <c r="EL29" s="43">
        <v>0</v>
      </c>
      <c r="EM29" s="43">
        <v>2</v>
      </c>
      <c r="EN29" s="43">
        <v>1</v>
      </c>
      <c r="EO29" s="43">
        <v>0</v>
      </c>
      <c r="EP29" s="43">
        <v>3</v>
      </c>
      <c r="EQ29" s="43">
        <v>0</v>
      </c>
      <c r="ER29" s="43">
        <v>1</v>
      </c>
      <c r="ES29" s="43">
        <v>0</v>
      </c>
      <c r="ET29" s="43">
        <v>1</v>
      </c>
      <c r="EU29" s="43">
        <v>2</v>
      </c>
      <c r="EV29" s="43">
        <v>2</v>
      </c>
      <c r="EW29" s="43">
        <v>1</v>
      </c>
      <c r="EX29" s="43">
        <v>0</v>
      </c>
      <c r="EY29" s="43">
        <v>3</v>
      </c>
      <c r="EZ29" s="43">
        <v>0</v>
      </c>
      <c r="FA29" s="43">
        <v>0</v>
      </c>
      <c r="FB29" s="43">
        <v>4</v>
      </c>
      <c r="FC29" s="43">
        <v>0</v>
      </c>
      <c r="FD29" s="43">
        <v>1</v>
      </c>
      <c r="FE29" s="43">
        <v>4</v>
      </c>
      <c r="FF29" s="43">
        <v>0</v>
      </c>
      <c r="FG29" s="43">
        <v>1</v>
      </c>
      <c r="FH29" s="43">
        <v>1</v>
      </c>
      <c r="FI29" s="43">
        <v>3</v>
      </c>
      <c r="FJ29" s="43">
        <v>1</v>
      </c>
      <c r="FK29" s="43">
        <v>3</v>
      </c>
      <c r="FL29" s="43">
        <v>0</v>
      </c>
      <c r="FM29" s="43">
        <v>0</v>
      </c>
      <c r="FN29" s="43">
        <v>2</v>
      </c>
      <c r="FO29" s="43">
        <v>1</v>
      </c>
      <c r="FP29" s="43">
        <v>1</v>
      </c>
      <c r="FQ29" s="43">
        <v>3</v>
      </c>
      <c r="FR29" s="43">
        <v>0</v>
      </c>
      <c r="FS29" s="43">
        <v>0</v>
      </c>
      <c r="FT29" s="43">
        <v>1</v>
      </c>
      <c r="FU29" s="43">
        <v>1</v>
      </c>
      <c r="FV29" s="43">
        <v>1</v>
      </c>
      <c r="FW29" s="43">
        <v>1</v>
      </c>
      <c r="FX29" s="43">
        <v>1</v>
      </c>
      <c r="FY29" s="43">
        <v>1</v>
      </c>
      <c r="FZ29" s="43">
        <v>4</v>
      </c>
      <c r="GA29" s="43">
        <v>2</v>
      </c>
      <c r="GB29" s="43">
        <v>0</v>
      </c>
      <c r="GC29" s="43">
        <v>2</v>
      </c>
      <c r="GD29" s="43">
        <v>1</v>
      </c>
      <c r="GE29" s="43">
        <v>1</v>
      </c>
      <c r="GF29" s="43">
        <v>1</v>
      </c>
      <c r="GG29" s="43">
        <v>2</v>
      </c>
      <c r="GH29" s="43">
        <v>0</v>
      </c>
      <c r="GI29" s="43">
        <v>3</v>
      </c>
      <c r="GJ29" s="43">
        <v>1</v>
      </c>
      <c r="GK29" s="43">
        <v>1</v>
      </c>
      <c r="GL29" s="43">
        <v>2</v>
      </c>
      <c r="GM29" s="43">
        <v>0</v>
      </c>
      <c r="GN29" s="43">
        <v>1</v>
      </c>
      <c r="GO29" s="43">
        <v>1</v>
      </c>
      <c r="GP29" s="43">
        <v>1</v>
      </c>
      <c r="GQ29" s="43">
        <v>0</v>
      </c>
      <c r="GR29" s="43">
        <v>3</v>
      </c>
      <c r="GS29" s="43">
        <v>0</v>
      </c>
      <c r="GT29" s="43">
        <v>1</v>
      </c>
      <c r="GU29" s="43">
        <v>4</v>
      </c>
      <c r="GV29" s="43">
        <v>1</v>
      </c>
      <c r="GW29" s="43">
        <v>1</v>
      </c>
      <c r="GX29" s="43">
        <v>3</v>
      </c>
      <c r="GY29" s="43">
        <v>1</v>
      </c>
      <c r="GZ29" s="43">
        <v>1</v>
      </c>
      <c r="HA29" s="43">
        <v>2</v>
      </c>
      <c r="HB29" s="43">
        <v>1</v>
      </c>
      <c r="HC29" s="43">
        <v>1</v>
      </c>
      <c r="HD29" s="43">
        <v>2</v>
      </c>
      <c r="HE29" s="43">
        <v>3</v>
      </c>
      <c r="HF29" s="43">
        <v>1</v>
      </c>
      <c r="HG29" s="43">
        <v>3</v>
      </c>
      <c r="HH29" s="43">
        <v>1</v>
      </c>
      <c r="HI29" s="43">
        <v>0</v>
      </c>
      <c r="HJ29" s="43">
        <v>3</v>
      </c>
      <c r="HK29" s="43">
        <v>2</v>
      </c>
      <c r="HL29" s="43">
        <v>0</v>
      </c>
      <c r="HM29" s="43">
        <v>3</v>
      </c>
      <c r="HN29" s="43">
        <v>2</v>
      </c>
      <c r="HO29" s="43">
        <v>0</v>
      </c>
      <c r="HP29" s="43">
        <v>3</v>
      </c>
      <c r="HQ29" s="43">
        <v>0</v>
      </c>
      <c r="HR29" s="43">
        <v>1</v>
      </c>
      <c r="HS29" s="43">
        <v>1</v>
      </c>
      <c r="HT29" s="43">
        <v>1</v>
      </c>
      <c r="HU29" s="43">
        <v>0</v>
      </c>
      <c r="HV29" s="43">
        <v>2</v>
      </c>
      <c r="HW29" s="43">
        <v>2</v>
      </c>
      <c r="HX29" s="43">
        <v>1</v>
      </c>
      <c r="HY29" s="43">
        <v>2</v>
      </c>
      <c r="HZ29" s="43">
        <v>0</v>
      </c>
      <c r="IA29" s="43">
        <v>0</v>
      </c>
      <c r="IB29" s="43">
        <v>3</v>
      </c>
      <c r="IC29" s="43">
        <v>1</v>
      </c>
      <c r="ID29" s="43">
        <v>0</v>
      </c>
      <c r="IE29" s="43">
        <v>2</v>
      </c>
      <c r="IF29" s="43">
        <v>2</v>
      </c>
      <c r="IG29" s="43">
        <v>1</v>
      </c>
      <c r="IH29" s="43">
        <v>3</v>
      </c>
      <c r="II29" s="43">
        <v>1</v>
      </c>
      <c r="IJ29" s="43">
        <v>1</v>
      </c>
      <c r="IK29" s="43">
        <v>2</v>
      </c>
      <c r="IL29" s="43">
        <v>2</v>
      </c>
      <c r="IM29" s="43">
        <v>0</v>
      </c>
      <c r="IN29" s="43">
        <v>2</v>
      </c>
      <c r="IO29" s="43">
        <v>4</v>
      </c>
      <c r="IP29" s="43">
        <v>1</v>
      </c>
      <c r="IQ29" s="43">
        <v>3</v>
      </c>
      <c r="IR29" s="43">
        <v>2</v>
      </c>
      <c r="IS29" s="43">
        <v>2</v>
      </c>
      <c r="IT29" s="43">
        <v>1</v>
      </c>
      <c r="IU29" s="43">
        <v>0</v>
      </c>
      <c r="IV29" s="43">
        <v>0</v>
      </c>
      <c r="IW29" s="43">
        <v>2</v>
      </c>
      <c r="IX29" s="43">
        <v>1</v>
      </c>
      <c r="IY29" s="43">
        <v>0</v>
      </c>
      <c r="IZ29" s="43">
        <v>4</v>
      </c>
      <c r="JA29" s="43">
        <v>1</v>
      </c>
      <c r="JB29" s="43">
        <v>1</v>
      </c>
      <c r="JC29" s="43">
        <v>2</v>
      </c>
      <c r="JD29" s="43">
        <v>1</v>
      </c>
      <c r="JE29" s="43">
        <v>1</v>
      </c>
      <c r="JF29" s="43">
        <v>3</v>
      </c>
      <c r="JG29" s="43">
        <v>3</v>
      </c>
      <c r="JH29" s="43">
        <v>0</v>
      </c>
      <c r="JI29" s="43">
        <v>3</v>
      </c>
      <c r="JJ29" s="43">
        <v>1</v>
      </c>
      <c r="JK29" s="43">
        <v>1</v>
      </c>
      <c r="JL29" s="43">
        <v>1</v>
      </c>
      <c r="JM29" s="43">
        <v>0</v>
      </c>
      <c r="JN29" s="43">
        <v>0</v>
      </c>
      <c r="JO29" s="43">
        <v>3</v>
      </c>
      <c r="JP29" s="43">
        <v>1</v>
      </c>
      <c r="JQ29" s="43">
        <v>1</v>
      </c>
      <c r="JR29" s="43">
        <v>3</v>
      </c>
      <c r="JS29" s="43">
        <v>3</v>
      </c>
      <c r="JT29" s="43">
        <v>1</v>
      </c>
      <c r="JU29" s="43">
        <v>3</v>
      </c>
      <c r="JV29" s="43">
        <v>0</v>
      </c>
      <c r="JW29" s="43">
        <v>0</v>
      </c>
      <c r="JX29" s="43">
        <v>2</v>
      </c>
      <c r="JY29" s="43">
        <v>1</v>
      </c>
      <c r="JZ29" s="43">
        <v>2</v>
      </c>
      <c r="KA29" s="43">
        <v>4</v>
      </c>
      <c r="KB29" s="43">
        <v>1</v>
      </c>
      <c r="KC29" s="43">
        <v>1</v>
      </c>
      <c r="KD29" s="43">
        <v>2</v>
      </c>
      <c r="KE29" s="43">
        <v>2</v>
      </c>
      <c r="KF29" s="43">
        <v>0</v>
      </c>
      <c r="KG29" s="43">
        <v>2</v>
      </c>
      <c r="KH29" s="43">
        <v>0</v>
      </c>
      <c r="KI29" s="43">
        <v>1</v>
      </c>
      <c r="KJ29" s="43">
        <v>2</v>
      </c>
      <c r="KK29" s="43">
        <v>3</v>
      </c>
      <c r="KL29" s="43">
        <v>0</v>
      </c>
      <c r="KM29" s="43">
        <v>3</v>
      </c>
      <c r="KN29" s="43">
        <v>2</v>
      </c>
      <c r="KO29" s="43">
        <v>0</v>
      </c>
    </row>
    <row r="30" spans="1:301" x14ac:dyDescent="0.4">
      <c r="A30" s="43">
        <v>26</v>
      </c>
      <c r="B30" s="43">
        <v>2</v>
      </c>
      <c r="C30" s="43">
        <v>0</v>
      </c>
      <c r="D30" s="43">
        <v>0</v>
      </c>
      <c r="E30" s="43">
        <v>2</v>
      </c>
      <c r="F30" s="43">
        <v>4</v>
      </c>
      <c r="G30" s="43">
        <v>0</v>
      </c>
      <c r="H30" s="43">
        <v>2</v>
      </c>
      <c r="I30" s="43">
        <v>3</v>
      </c>
      <c r="J30" s="43">
        <v>0</v>
      </c>
      <c r="K30" s="43">
        <v>4</v>
      </c>
      <c r="L30" s="43">
        <v>1</v>
      </c>
      <c r="M30" s="43">
        <v>1</v>
      </c>
      <c r="N30" s="43">
        <v>1</v>
      </c>
      <c r="O30" s="43">
        <v>0</v>
      </c>
      <c r="P30" s="43">
        <v>1</v>
      </c>
      <c r="Q30" s="43">
        <v>4</v>
      </c>
      <c r="R30" s="43">
        <v>0</v>
      </c>
      <c r="S30" s="43">
        <v>1</v>
      </c>
      <c r="T30" s="43">
        <v>3</v>
      </c>
      <c r="U30" s="43">
        <v>0</v>
      </c>
      <c r="V30" s="43">
        <v>0</v>
      </c>
      <c r="W30" s="43">
        <v>1</v>
      </c>
      <c r="X30" s="43">
        <v>1</v>
      </c>
      <c r="Y30" s="43">
        <v>0</v>
      </c>
      <c r="Z30" s="43">
        <v>4</v>
      </c>
      <c r="AA30" s="43">
        <v>2</v>
      </c>
      <c r="AB30" s="43">
        <v>1</v>
      </c>
      <c r="AC30" s="43">
        <v>2</v>
      </c>
      <c r="AD30" s="43">
        <v>0</v>
      </c>
      <c r="AE30" s="43">
        <v>1</v>
      </c>
      <c r="AF30" s="43">
        <v>2</v>
      </c>
      <c r="AG30" s="43">
        <v>1</v>
      </c>
      <c r="AH30" s="43">
        <v>2</v>
      </c>
      <c r="AI30" s="43">
        <v>3</v>
      </c>
      <c r="AJ30" s="43">
        <v>1</v>
      </c>
      <c r="AK30" s="43">
        <v>0</v>
      </c>
      <c r="AL30" s="43">
        <v>2</v>
      </c>
      <c r="AM30" s="43">
        <v>1</v>
      </c>
      <c r="AN30" s="43">
        <v>0</v>
      </c>
      <c r="AO30" s="43">
        <v>3</v>
      </c>
      <c r="AP30" s="43">
        <v>1</v>
      </c>
      <c r="AQ30" s="43">
        <v>3</v>
      </c>
      <c r="AR30" s="43">
        <v>0</v>
      </c>
      <c r="AS30" s="43">
        <v>2</v>
      </c>
      <c r="AT30" s="43">
        <v>0</v>
      </c>
      <c r="AU30" s="43">
        <v>2</v>
      </c>
      <c r="AV30" s="43">
        <v>2</v>
      </c>
      <c r="AW30" s="43">
        <v>0</v>
      </c>
      <c r="AX30" s="43">
        <v>2</v>
      </c>
      <c r="AY30" s="43">
        <v>2</v>
      </c>
      <c r="AZ30" s="43">
        <v>1</v>
      </c>
      <c r="BA30" s="43">
        <v>1</v>
      </c>
      <c r="BB30" s="43">
        <v>3</v>
      </c>
      <c r="BC30" s="43">
        <v>0</v>
      </c>
      <c r="BD30" s="43">
        <v>4</v>
      </c>
      <c r="BE30" s="43">
        <v>0</v>
      </c>
      <c r="BF30" s="43">
        <v>1</v>
      </c>
      <c r="BG30" s="43">
        <v>3</v>
      </c>
      <c r="BH30" s="43">
        <v>1</v>
      </c>
      <c r="BI30" s="43">
        <v>1</v>
      </c>
      <c r="BJ30" s="43">
        <v>4</v>
      </c>
      <c r="BK30" s="43">
        <v>0</v>
      </c>
      <c r="BL30" s="43">
        <v>0</v>
      </c>
      <c r="BM30" s="43">
        <v>2</v>
      </c>
      <c r="BN30" s="43">
        <v>2</v>
      </c>
      <c r="BO30" s="43">
        <v>2</v>
      </c>
      <c r="BP30" s="43">
        <v>1</v>
      </c>
      <c r="BQ30" s="43">
        <v>1</v>
      </c>
      <c r="BR30" s="43">
        <v>1</v>
      </c>
      <c r="BS30" s="43">
        <v>0</v>
      </c>
      <c r="BT30" s="43">
        <v>1</v>
      </c>
      <c r="BU30" s="43">
        <v>0</v>
      </c>
      <c r="BV30" s="43">
        <v>0</v>
      </c>
      <c r="BW30" s="43">
        <v>0</v>
      </c>
      <c r="BX30" s="43">
        <v>0</v>
      </c>
      <c r="BY30" s="43">
        <v>2</v>
      </c>
      <c r="BZ30" s="43">
        <v>0</v>
      </c>
      <c r="CA30" s="43">
        <v>0</v>
      </c>
      <c r="CB30" s="43">
        <v>2</v>
      </c>
      <c r="CC30" s="43">
        <v>0</v>
      </c>
      <c r="CD30" s="43">
        <v>2</v>
      </c>
      <c r="CE30" s="43">
        <v>4</v>
      </c>
      <c r="CF30" s="43">
        <v>0</v>
      </c>
      <c r="CG30" s="43">
        <v>3</v>
      </c>
      <c r="CH30" s="43">
        <v>1</v>
      </c>
      <c r="CI30" s="43">
        <v>1</v>
      </c>
      <c r="CJ30" s="43">
        <v>1</v>
      </c>
      <c r="CK30" s="43">
        <v>3</v>
      </c>
      <c r="CL30" s="43">
        <v>0</v>
      </c>
      <c r="CM30" s="43">
        <v>0</v>
      </c>
      <c r="CN30" s="43">
        <v>1</v>
      </c>
      <c r="CO30" s="43">
        <v>1</v>
      </c>
      <c r="CP30" s="43">
        <v>0</v>
      </c>
      <c r="CQ30" s="43">
        <v>3</v>
      </c>
      <c r="CR30" s="43">
        <v>1</v>
      </c>
      <c r="CS30" s="43">
        <v>0</v>
      </c>
      <c r="CT30" s="43">
        <v>2</v>
      </c>
      <c r="CU30" s="43">
        <v>2</v>
      </c>
      <c r="CV30" s="43">
        <v>0</v>
      </c>
      <c r="CW30" s="43">
        <v>4</v>
      </c>
      <c r="CX30" s="43">
        <v>1</v>
      </c>
      <c r="CY30" s="43">
        <v>0</v>
      </c>
      <c r="CZ30" s="43">
        <v>1</v>
      </c>
      <c r="DA30" s="43">
        <v>3</v>
      </c>
      <c r="DB30" s="43">
        <v>0</v>
      </c>
      <c r="DC30" s="43">
        <v>1</v>
      </c>
      <c r="DD30" s="43">
        <v>0</v>
      </c>
      <c r="DE30" s="43">
        <v>1</v>
      </c>
      <c r="DF30" s="43">
        <v>3</v>
      </c>
      <c r="DG30" s="43">
        <v>1</v>
      </c>
      <c r="DH30" s="43">
        <v>2</v>
      </c>
      <c r="DI30" s="43">
        <v>1</v>
      </c>
      <c r="DJ30" s="43">
        <v>1</v>
      </c>
      <c r="DK30" s="43">
        <v>1</v>
      </c>
      <c r="DL30" s="43">
        <v>4</v>
      </c>
      <c r="DM30" s="43">
        <v>1</v>
      </c>
      <c r="DN30" s="43">
        <v>1</v>
      </c>
      <c r="DO30" s="43">
        <v>1</v>
      </c>
      <c r="DP30" s="43">
        <v>0</v>
      </c>
      <c r="DQ30" s="43">
        <v>2</v>
      </c>
      <c r="DR30" s="43">
        <v>2</v>
      </c>
      <c r="DS30" s="43">
        <v>2</v>
      </c>
      <c r="DT30" s="43">
        <v>0</v>
      </c>
      <c r="DU30" s="43">
        <v>2</v>
      </c>
      <c r="DV30" s="43">
        <v>2</v>
      </c>
      <c r="DW30" s="43">
        <v>1</v>
      </c>
      <c r="DX30" s="43">
        <v>2</v>
      </c>
      <c r="DY30" s="43">
        <v>1</v>
      </c>
      <c r="DZ30" s="43">
        <v>0</v>
      </c>
      <c r="EA30" s="43">
        <v>3</v>
      </c>
      <c r="EB30" s="43">
        <v>0</v>
      </c>
      <c r="EC30" s="43">
        <v>2</v>
      </c>
      <c r="ED30" s="43">
        <v>2</v>
      </c>
      <c r="EE30" s="43">
        <v>1</v>
      </c>
      <c r="EF30" s="43">
        <v>0</v>
      </c>
      <c r="EG30" s="43">
        <v>4</v>
      </c>
      <c r="EH30" s="43">
        <v>0</v>
      </c>
      <c r="EI30" s="43">
        <v>1</v>
      </c>
      <c r="EJ30" s="43">
        <v>2</v>
      </c>
      <c r="EK30" s="43">
        <v>0</v>
      </c>
      <c r="EL30" s="43">
        <v>0</v>
      </c>
      <c r="EM30" s="43">
        <v>3</v>
      </c>
      <c r="EN30" s="43">
        <v>0</v>
      </c>
      <c r="EO30" s="43">
        <v>1</v>
      </c>
      <c r="EP30" s="43">
        <v>3</v>
      </c>
      <c r="EQ30" s="43">
        <v>2</v>
      </c>
      <c r="ER30" s="43">
        <v>1</v>
      </c>
      <c r="ES30" s="43">
        <v>4</v>
      </c>
      <c r="ET30" s="43">
        <v>1</v>
      </c>
      <c r="EU30" s="43">
        <v>1</v>
      </c>
      <c r="EV30" s="43">
        <v>1</v>
      </c>
      <c r="EW30" s="43">
        <v>3</v>
      </c>
      <c r="EX30" s="43">
        <v>0</v>
      </c>
      <c r="EY30" s="43">
        <v>4</v>
      </c>
      <c r="EZ30" s="43">
        <v>0</v>
      </c>
      <c r="FA30" s="43">
        <v>2</v>
      </c>
      <c r="FB30" s="43">
        <v>3</v>
      </c>
      <c r="FC30" s="43">
        <v>0</v>
      </c>
      <c r="FD30" s="43">
        <v>1</v>
      </c>
      <c r="FE30" s="43">
        <v>4</v>
      </c>
      <c r="FF30" s="43">
        <v>1</v>
      </c>
      <c r="FG30" s="43">
        <v>1</v>
      </c>
      <c r="FH30" s="43">
        <v>1</v>
      </c>
      <c r="FI30" s="43">
        <v>1</v>
      </c>
      <c r="FJ30" s="43">
        <v>1</v>
      </c>
      <c r="FK30" s="43">
        <v>3</v>
      </c>
      <c r="FL30" s="43">
        <v>0</v>
      </c>
      <c r="FM30" s="43">
        <v>1</v>
      </c>
      <c r="FN30" s="43">
        <v>4</v>
      </c>
      <c r="FO30" s="43">
        <v>0</v>
      </c>
      <c r="FP30" s="43">
        <v>1</v>
      </c>
      <c r="FQ30" s="43">
        <v>2</v>
      </c>
      <c r="FR30" s="43">
        <v>2</v>
      </c>
      <c r="FS30" s="43">
        <v>2</v>
      </c>
      <c r="FT30" s="43">
        <v>2</v>
      </c>
      <c r="FU30" s="43">
        <v>1</v>
      </c>
      <c r="FV30" s="43">
        <v>0</v>
      </c>
      <c r="FW30" s="43">
        <v>4</v>
      </c>
      <c r="FX30" s="43">
        <v>0</v>
      </c>
      <c r="FY30" s="43">
        <v>1</v>
      </c>
      <c r="FZ30" s="43">
        <v>2</v>
      </c>
      <c r="GA30" s="43">
        <v>2</v>
      </c>
      <c r="GB30" s="43">
        <v>1</v>
      </c>
      <c r="GC30" s="43">
        <v>2</v>
      </c>
      <c r="GD30" s="43">
        <v>0</v>
      </c>
      <c r="GE30" s="43">
        <v>1</v>
      </c>
      <c r="GF30" s="43">
        <v>2</v>
      </c>
      <c r="GG30" s="43">
        <v>1</v>
      </c>
      <c r="GH30" s="43">
        <v>1</v>
      </c>
      <c r="GI30" s="43">
        <v>2</v>
      </c>
      <c r="GJ30" s="43">
        <v>0</v>
      </c>
      <c r="GK30" s="43">
        <v>0</v>
      </c>
      <c r="GL30" s="43">
        <v>3</v>
      </c>
      <c r="GM30" s="43">
        <v>2</v>
      </c>
      <c r="GN30" s="43">
        <v>1</v>
      </c>
      <c r="GO30" s="43">
        <v>2</v>
      </c>
      <c r="GP30" s="43">
        <v>1</v>
      </c>
      <c r="GQ30" s="43">
        <v>0</v>
      </c>
      <c r="GR30" s="43">
        <v>3</v>
      </c>
      <c r="GS30" s="43">
        <v>0</v>
      </c>
      <c r="GT30" s="43">
        <v>0</v>
      </c>
      <c r="GU30" s="43">
        <v>4</v>
      </c>
      <c r="GV30" s="43">
        <v>2</v>
      </c>
      <c r="GW30" s="43">
        <v>1</v>
      </c>
      <c r="GX30" s="43">
        <v>3</v>
      </c>
      <c r="GY30" s="43">
        <v>0</v>
      </c>
      <c r="GZ30" s="43">
        <v>1</v>
      </c>
      <c r="HA30" s="43">
        <v>2</v>
      </c>
      <c r="HB30" s="43">
        <v>3</v>
      </c>
      <c r="HC30" s="43">
        <v>1</v>
      </c>
      <c r="HD30" s="43">
        <v>2</v>
      </c>
      <c r="HE30" s="43">
        <v>2</v>
      </c>
      <c r="HF30" s="43">
        <v>2</v>
      </c>
      <c r="HG30" s="43">
        <v>1</v>
      </c>
      <c r="HH30" s="43">
        <v>1</v>
      </c>
      <c r="HI30" s="43">
        <v>0</v>
      </c>
      <c r="HJ30" s="43">
        <v>2</v>
      </c>
      <c r="HK30" s="43">
        <v>1</v>
      </c>
      <c r="HL30" s="43">
        <v>0</v>
      </c>
      <c r="HM30" s="43">
        <v>3</v>
      </c>
      <c r="HN30" s="43">
        <v>1</v>
      </c>
      <c r="HO30" s="43">
        <v>0</v>
      </c>
      <c r="HP30" s="43">
        <v>4</v>
      </c>
      <c r="HQ30" s="43">
        <v>1</v>
      </c>
      <c r="HR30" s="43">
        <v>0</v>
      </c>
      <c r="HS30" s="43">
        <v>2</v>
      </c>
      <c r="HT30" s="43">
        <v>2</v>
      </c>
      <c r="HU30" s="43">
        <v>2</v>
      </c>
      <c r="HV30" s="43">
        <v>3</v>
      </c>
      <c r="HW30" s="43">
        <v>2</v>
      </c>
      <c r="HX30" s="43">
        <v>0</v>
      </c>
      <c r="HY30" s="43">
        <v>1</v>
      </c>
      <c r="HZ30" s="43">
        <v>1</v>
      </c>
      <c r="IA30" s="43">
        <v>0</v>
      </c>
      <c r="IB30" s="43">
        <v>3</v>
      </c>
      <c r="IC30" s="43">
        <v>2</v>
      </c>
      <c r="ID30" s="43">
        <v>0</v>
      </c>
      <c r="IE30" s="43">
        <v>1</v>
      </c>
      <c r="IF30" s="43">
        <v>2</v>
      </c>
      <c r="IG30" s="43">
        <v>2</v>
      </c>
      <c r="IH30" s="43">
        <v>4</v>
      </c>
      <c r="II30" s="43">
        <v>0</v>
      </c>
      <c r="IJ30" s="43">
        <v>0</v>
      </c>
      <c r="IK30" s="43">
        <v>3</v>
      </c>
      <c r="IL30" s="43">
        <v>2</v>
      </c>
      <c r="IM30" s="43">
        <v>0</v>
      </c>
      <c r="IN30" s="43">
        <v>1</v>
      </c>
      <c r="IO30" s="43">
        <v>0</v>
      </c>
      <c r="IP30" s="43">
        <v>0</v>
      </c>
      <c r="IQ30" s="43">
        <v>2</v>
      </c>
      <c r="IR30" s="43">
        <v>1</v>
      </c>
      <c r="IS30" s="43">
        <v>0</v>
      </c>
      <c r="IT30" s="43">
        <v>2</v>
      </c>
      <c r="IU30" s="43">
        <v>0</v>
      </c>
      <c r="IV30" s="43">
        <v>1</v>
      </c>
      <c r="IW30" s="43">
        <v>2</v>
      </c>
      <c r="IX30" s="43">
        <v>2</v>
      </c>
      <c r="IY30" s="43">
        <v>0</v>
      </c>
      <c r="IZ30" s="43">
        <v>2</v>
      </c>
      <c r="JA30" s="43">
        <v>2</v>
      </c>
      <c r="JB30" s="43">
        <v>1</v>
      </c>
      <c r="JC30" s="43">
        <v>3</v>
      </c>
      <c r="JD30" s="43">
        <v>1</v>
      </c>
      <c r="JE30" s="43">
        <v>0</v>
      </c>
      <c r="JF30" s="43">
        <v>3</v>
      </c>
      <c r="JG30" s="43">
        <v>1</v>
      </c>
      <c r="JH30" s="43">
        <v>2</v>
      </c>
      <c r="JI30" s="43">
        <v>2</v>
      </c>
      <c r="JJ30" s="43">
        <v>0</v>
      </c>
      <c r="JK30" s="43">
        <v>0</v>
      </c>
      <c r="JL30" s="43">
        <v>4</v>
      </c>
      <c r="JM30" s="43">
        <v>1</v>
      </c>
      <c r="JN30" s="43">
        <v>0</v>
      </c>
      <c r="JO30" s="43">
        <v>4</v>
      </c>
      <c r="JP30" s="43">
        <v>0</v>
      </c>
      <c r="JQ30" s="43">
        <v>1</v>
      </c>
      <c r="JR30" s="43">
        <v>2</v>
      </c>
      <c r="JS30" s="43">
        <v>1</v>
      </c>
      <c r="JT30" s="43">
        <v>2</v>
      </c>
      <c r="JU30" s="43">
        <v>1</v>
      </c>
      <c r="JV30" s="43">
        <v>2</v>
      </c>
      <c r="JW30" s="43">
        <v>0</v>
      </c>
      <c r="JX30" s="43">
        <v>2</v>
      </c>
      <c r="JY30" s="43">
        <v>3</v>
      </c>
      <c r="JZ30" s="43">
        <v>2</v>
      </c>
      <c r="KA30" s="43">
        <v>2</v>
      </c>
      <c r="KB30" s="43">
        <v>0</v>
      </c>
      <c r="KC30" s="43">
        <v>1</v>
      </c>
      <c r="KD30" s="43">
        <v>2</v>
      </c>
      <c r="KE30" s="43">
        <v>1</v>
      </c>
      <c r="KF30" s="43">
        <v>1</v>
      </c>
      <c r="KG30" s="43">
        <v>3</v>
      </c>
      <c r="KH30" s="43">
        <v>1</v>
      </c>
      <c r="KI30" s="43">
        <v>0</v>
      </c>
      <c r="KJ30" s="43">
        <v>3</v>
      </c>
      <c r="KK30" s="43">
        <v>1</v>
      </c>
      <c r="KL30" s="43">
        <v>1</v>
      </c>
      <c r="KM30" s="43">
        <v>3</v>
      </c>
      <c r="KN30" s="43">
        <v>1</v>
      </c>
      <c r="KO30" s="43">
        <v>1</v>
      </c>
    </row>
    <row r="31" spans="1:301" x14ac:dyDescent="0.4">
      <c r="A31" s="43">
        <v>27</v>
      </c>
      <c r="B31" s="43">
        <v>1</v>
      </c>
      <c r="C31" s="43">
        <v>3</v>
      </c>
      <c r="D31" s="43">
        <v>1</v>
      </c>
      <c r="E31" s="43">
        <v>3</v>
      </c>
      <c r="F31" s="43">
        <v>1</v>
      </c>
      <c r="G31" s="43">
        <v>1</v>
      </c>
      <c r="H31" s="43">
        <v>1</v>
      </c>
      <c r="I31" s="43">
        <v>1</v>
      </c>
      <c r="J31" s="43">
        <v>0</v>
      </c>
      <c r="K31" s="43">
        <v>0</v>
      </c>
      <c r="L31" s="43">
        <v>0</v>
      </c>
      <c r="M31" s="43">
        <v>0</v>
      </c>
      <c r="N31" s="43">
        <v>3</v>
      </c>
      <c r="O31" s="43">
        <v>0</v>
      </c>
      <c r="P31" s="43">
        <v>1</v>
      </c>
      <c r="Q31" s="43">
        <v>3</v>
      </c>
      <c r="R31" s="43">
        <v>0</v>
      </c>
      <c r="S31" s="43">
        <v>1</v>
      </c>
      <c r="T31" s="43">
        <v>2</v>
      </c>
      <c r="U31" s="43">
        <v>2</v>
      </c>
      <c r="V31" s="43">
        <v>1</v>
      </c>
      <c r="W31" s="43">
        <v>3</v>
      </c>
      <c r="X31" s="43">
        <v>2</v>
      </c>
      <c r="Y31" s="43">
        <v>1</v>
      </c>
      <c r="Z31" s="43">
        <v>3</v>
      </c>
      <c r="AA31" s="43">
        <v>1</v>
      </c>
      <c r="AB31" s="43">
        <v>2</v>
      </c>
      <c r="AC31" s="43">
        <v>2</v>
      </c>
      <c r="AD31" s="43">
        <v>2</v>
      </c>
      <c r="AE31" s="43">
        <v>0</v>
      </c>
      <c r="AF31" s="43">
        <v>3</v>
      </c>
      <c r="AG31" s="43">
        <v>0</v>
      </c>
      <c r="AH31" s="43">
        <v>1</v>
      </c>
      <c r="AI31" s="43">
        <v>2</v>
      </c>
      <c r="AJ31" s="43">
        <v>1</v>
      </c>
      <c r="AK31" s="43">
        <v>2</v>
      </c>
      <c r="AL31" s="43">
        <v>3</v>
      </c>
      <c r="AM31" s="43">
        <v>0</v>
      </c>
      <c r="AN31" s="43">
        <v>0</v>
      </c>
      <c r="AO31" s="43">
        <v>3</v>
      </c>
      <c r="AP31" s="43">
        <v>3</v>
      </c>
      <c r="AQ31" s="43">
        <v>0</v>
      </c>
      <c r="AR31" s="43">
        <v>3</v>
      </c>
      <c r="AS31" s="43">
        <v>2</v>
      </c>
      <c r="AT31" s="43">
        <v>1</v>
      </c>
      <c r="AU31" s="43">
        <v>2</v>
      </c>
      <c r="AV31" s="43">
        <v>2</v>
      </c>
      <c r="AW31" s="43">
        <v>2</v>
      </c>
      <c r="AX31" s="43">
        <v>4</v>
      </c>
      <c r="AY31" s="43">
        <v>1</v>
      </c>
      <c r="AZ31" s="43">
        <v>1</v>
      </c>
      <c r="BA31" s="43">
        <v>3</v>
      </c>
      <c r="BB31" s="43">
        <v>0</v>
      </c>
      <c r="BC31" s="43">
        <v>2</v>
      </c>
      <c r="BD31" s="43">
        <v>2</v>
      </c>
      <c r="BE31" s="43">
        <v>0</v>
      </c>
      <c r="BF31" s="43">
        <v>3</v>
      </c>
      <c r="BG31" s="43">
        <v>2</v>
      </c>
      <c r="BH31" s="43">
        <v>2</v>
      </c>
      <c r="BI31" s="43">
        <v>0</v>
      </c>
      <c r="BJ31" s="43">
        <v>3</v>
      </c>
      <c r="BK31" s="43">
        <v>2</v>
      </c>
      <c r="BL31" s="43">
        <v>0</v>
      </c>
      <c r="BM31" s="43">
        <v>4</v>
      </c>
      <c r="BN31" s="43">
        <v>2</v>
      </c>
      <c r="BO31" s="43">
        <v>1</v>
      </c>
      <c r="BP31" s="43">
        <v>3</v>
      </c>
      <c r="BQ31" s="43">
        <v>3</v>
      </c>
      <c r="BR31" s="43">
        <v>0</v>
      </c>
      <c r="BS31" s="43">
        <v>2</v>
      </c>
      <c r="BT31" s="43">
        <v>0</v>
      </c>
      <c r="BU31" s="43">
        <v>1</v>
      </c>
      <c r="BV31" s="43">
        <v>2</v>
      </c>
      <c r="BW31" s="43">
        <v>2</v>
      </c>
      <c r="BX31" s="43">
        <v>0</v>
      </c>
      <c r="BY31" s="43">
        <v>3</v>
      </c>
      <c r="BZ31" s="43">
        <v>2</v>
      </c>
      <c r="CA31" s="43">
        <v>0</v>
      </c>
      <c r="CB31" s="43">
        <v>4</v>
      </c>
      <c r="CC31" s="43">
        <v>0</v>
      </c>
      <c r="CD31" s="43">
        <v>1</v>
      </c>
      <c r="CE31" s="43">
        <v>3</v>
      </c>
      <c r="CF31" s="43">
        <v>1</v>
      </c>
      <c r="CG31" s="43">
        <v>0</v>
      </c>
      <c r="CH31" s="43">
        <v>3</v>
      </c>
      <c r="CI31" s="43">
        <v>1</v>
      </c>
      <c r="CJ31" s="43">
        <v>1</v>
      </c>
      <c r="CK31" s="43">
        <v>4</v>
      </c>
      <c r="CL31" s="43">
        <v>3</v>
      </c>
      <c r="CM31" s="43">
        <v>0</v>
      </c>
      <c r="CN31" s="43">
        <v>2</v>
      </c>
      <c r="CO31" s="43">
        <v>0</v>
      </c>
      <c r="CP31" s="43">
        <v>0</v>
      </c>
      <c r="CQ31" s="43">
        <v>3</v>
      </c>
      <c r="CR31" s="43">
        <v>2</v>
      </c>
      <c r="CS31" s="43">
        <v>0</v>
      </c>
      <c r="CT31" s="43">
        <v>0</v>
      </c>
      <c r="CU31" s="43">
        <v>1</v>
      </c>
      <c r="CV31" s="43">
        <v>0</v>
      </c>
      <c r="CW31" s="43">
        <v>3</v>
      </c>
      <c r="CX31" s="43">
        <v>2</v>
      </c>
      <c r="CY31" s="43">
        <v>1</v>
      </c>
      <c r="CZ31" s="43">
        <v>4</v>
      </c>
      <c r="DA31" s="43">
        <v>1</v>
      </c>
      <c r="DB31" s="43">
        <v>0</v>
      </c>
      <c r="DC31" s="43">
        <v>1</v>
      </c>
      <c r="DD31" s="43">
        <v>1</v>
      </c>
      <c r="DE31" s="43">
        <v>2</v>
      </c>
      <c r="DF31" s="43">
        <v>2</v>
      </c>
      <c r="DG31" s="43">
        <v>0</v>
      </c>
      <c r="DH31" s="43">
        <v>0</v>
      </c>
      <c r="DI31" s="43">
        <v>3</v>
      </c>
      <c r="DJ31" s="43">
        <v>3</v>
      </c>
      <c r="DK31" s="43">
        <v>1</v>
      </c>
      <c r="DL31" s="43">
        <v>4</v>
      </c>
      <c r="DM31" s="43">
        <v>0</v>
      </c>
      <c r="DN31" s="43">
        <v>1</v>
      </c>
      <c r="DO31" s="43">
        <v>4</v>
      </c>
      <c r="DP31" s="43">
        <v>1</v>
      </c>
      <c r="DQ31" s="43">
        <v>0</v>
      </c>
      <c r="DR31" s="43">
        <v>3</v>
      </c>
      <c r="DS31" s="43">
        <v>1</v>
      </c>
      <c r="DT31" s="43">
        <v>0</v>
      </c>
      <c r="DU31" s="43">
        <v>3</v>
      </c>
      <c r="DV31" s="43">
        <v>2</v>
      </c>
      <c r="DW31" s="43">
        <v>0</v>
      </c>
      <c r="DX31" s="43">
        <v>2</v>
      </c>
      <c r="DY31" s="43">
        <v>0</v>
      </c>
      <c r="DZ31" s="43">
        <v>1</v>
      </c>
      <c r="EA31" s="43">
        <v>2</v>
      </c>
      <c r="EB31" s="43">
        <v>0</v>
      </c>
      <c r="EC31" s="43">
        <v>0</v>
      </c>
      <c r="ED31" s="43">
        <v>1</v>
      </c>
      <c r="EE31" s="43">
        <v>0</v>
      </c>
      <c r="EF31" s="43">
        <v>1</v>
      </c>
      <c r="EG31" s="43">
        <v>3</v>
      </c>
      <c r="EH31" s="43">
        <v>2</v>
      </c>
      <c r="EI31" s="43">
        <v>0</v>
      </c>
      <c r="EJ31" s="43">
        <v>3</v>
      </c>
      <c r="EK31" s="43">
        <v>2</v>
      </c>
      <c r="EL31" s="43">
        <v>0</v>
      </c>
      <c r="EM31" s="43">
        <v>2</v>
      </c>
      <c r="EN31" s="43">
        <v>1</v>
      </c>
      <c r="EO31" s="43">
        <v>0</v>
      </c>
      <c r="EP31" s="43">
        <v>3</v>
      </c>
      <c r="EQ31" s="43">
        <v>2</v>
      </c>
      <c r="ER31" s="43">
        <v>1</v>
      </c>
      <c r="ES31" s="43">
        <v>3</v>
      </c>
      <c r="ET31" s="43">
        <v>1</v>
      </c>
      <c r="EU31" s="43">
        <v>0</v>
      </c>
      <c r="EV31" s="43">
        <v>0</v>
      </c>
      <c r="EW31" s="43">
        <v>0</v>
      </c>
      <c r="EX31" s="43">
        <v>1</v>
      </c>
      <c r="EY31" s="43">
        <v>3</v>
      </c>
      <c r="EZ31" s="43">
        <v>1</v>
      </c>
      <c r="FA31" s="43">
        <v>1</v>
      </c>
      <c r="FB31" s="43">
        <v>3</v>
      </c>
      <c r="FC31" s="43">
        <v>0</v>
      </c>
      <c r="FD31" s="43">
        <v>0</v>
      </c>
      <c r="FE31" s="43">
        <v>2</v>
      </c>
      <c r="FF31" s="43">
        <v>2</v>
      </c>
      <c r="FG31" s="43">
        <v>1</v>
      </c>
      <c r="FH31" s="43">
        <v>3</v>
      </c>
      <c r="FI31" s="43">
        <v>2</v>
      </c>
      <c r="FJ31" s="43">
        <v>0</v>
      </c>
      <c r="FK31" s="43">
        <v>3</v>
      </c>
      <c r="FL31" s="43">
        <v>2</v>
      </c>
      <c r="FM31" s="43">
        <v>1</v>
      </c>
      <c r="FN31" s="43">
        <v>3</v>
      </c>
      <c r="FO31" s="43">
        <v>1</v>
      </c>
      <c r="FP31" s="43">
        <v>0</v>
      </c>
      <c r="FQ31" s="43">
        <v>3</v>
      </c>
      <c r="FR31" s="43">
        <v>0</v>
      </c>
      <c r="FS31" s="43">
        <v>1</v>
      </c>
      <c r="FT31" s="43">
        <v>3</v>
      </c>
      <c r="FU31" s="43">
        <v>2</v>
      </c>
      <c r="FV31" s="43">
        <v>1</v>
      </c>
      <c r="FW31" s="43">
        <v>2</v>
      </c>
      <c r="FX31" s="43">
        <v>3</v>
      </c>
      <c r="FY31" s="43">
        <v>1</v>
      </c>
      <c r="FZ31" s="43">
        <v>1</v>
      </c>
      <c r="GA31" s="43">
        <v>0</v>
      </c>
      <c r="GB31" s="43">
        <v>2</v>
      </c>
      <c r="GC31" s="43">
        <v>2</v>
      </c>
      <c r="GD31" s="43">
        <v>1</v>
      </c>
      <c r="GE31" s="43">
        <v>1</v>
      </c>
      <c r="GF31" s="43">
        <v>3</v>
      </c>
      <c r="GG31" s="43">
        <v>2</v>
      </c>
      <c r="GH31" s="43">
        <v>2</v>
      </c>
      <c r="GI31" s="43">
        <v>1</v>
      </c>
      <c r="GJ31" s="43">
        <v>0</v>
      </c>
      <c r="GK31" s="43">
        <v>0</v>
      </c>
      <c r="GL31" s="43">
        <v>3</v>
      </c>
      <c r="GM31" s="43">
        <v>1</v>
      </c>
      <c r="GN31" s="43">
        <v>0</v>
      </c>
      <c r="GO31" s="43">
        <v>2</v>
      </c>
      <c r="GP31" s="43">
        <v>1</v>
      </c>
      <c r="GQ31" s="43">
        <v>1</v>
      </c>
      <c r="GR31" s="43">
        <v>0</v>
      </c>
      <c r="GS31" s="43">
        <v>3</v>
      </c>
      <c r="GT31" s="43">
        <v>0</v>
      </c>
      <c r="GU31" s="43">
        <v>2</v>
      </c>
      <c r="GV31" s="43">
        <v>2</v>
      </c>
      <c r="GW31" s="43">
        <v>2</v>
      </c>
      <c r="GX31" s="43">
        <v>3</v>
      </c>
      <c r="GY31" s="43">
        <v>1</v>
      </c>
      <c r="GZ31" s="43">
        <v>0</v>
      </c>
      <c r="HA31" s="43">
        <v>4</v>
      </c>
      <c r="HB31" s="43">
        <v>0</v>
      </c>
      <c r="HC31" s="43">
        <v>1</v>
      </c>
      <c r="HD31" s="43">
        <v>3</v>
      </c>
      <c r="HE31" s="43">
        <v>0</v>
      </c>
      <c r="HF31" s="43">
        <v>0</v>
      </c>
      <c r="HG31" s="43">
        <v>2</v>
      </c>
      <c r="HH31" s="43">
        <v>0</v>
      </c>
      <c r="HI31" s="43">
        <v>0</v>
      </c>
      <c r="HJ31" s="43">
        <v>3</v>
      </c>
      <c r="HK31" s="43">
        <v>1</v>
      </c>
      <c r="HL31" s="43">
        <v>1</v>
      </c>
      <c r="HM31" s="43">
        <v>2</v>
      </c>
      <c r="HN31" s="43">
        <v>0</v>
      </c>
      <c r="HO31" s="43">
        <v>2</v>
      </c>
      <c r="HP31" s="43">
        <v>3</v>
      </c>
      <c r="HQ31" s="43">
        <v>0</v>
      </c>
      <c r="HR31" s="43">
        <v>1</v>
      </c>
      <c r="HS31" s="43">
        <v>3</v>
      </c>
      <c r="HT31" s="43">
        <v>0</v>
      </c>
      <c r="HU31" s="43">
        <v>0</v>
      </c>
      <c r="HV31" s="43">
        <v>3</v>
      </c>
      <c r="HW31" s="43">
        <v>2</v>
      </c>
      <c r="HX31" s="43">
        <v>0</v>
      </c>
      <c r="HY31" s="43">
        <v>3</v>
      </c>
      <c r="HZ31" s="43">
        <v>2</v>
      </c>
      <c r="IA31" s="43">
        <v>1</v>
      </c>
      <c r="IB31" s="43">
        <v>1</v>
      </c>
      <c r="IC31" s="43">
        <v>2</v>
      </c>
      <c r="ID31" s="43">
        <v>0</v>
      </c>
      <c r="IE31" s="43">
        <v>2</v>
      </c>
      <c r="IF31" s="43">
        <v>0</v>
      </c>
      <c r="IG31" s="43">
        <v>1</v>
      </c>
      <c r="IH31" s="43">
        <v>2</v>
      </c>
      <c r="II31" s="43">
        <v>1</v>
      </c>
      <c r="IJ31" s="43">
        <v>0</v>
      </c>
      <c r="IK31" s="43">
        <v>2</v>
      </c>
      <c r="IL31" s="43">
        <v>1</v>
      </c>
      <c r="IM31" s="43">
        <v>0</v>
      </c>
      <c r="IN31" s="43">
        <v>2</v>
      </c>
      <c r="IO31" s="43">
        <v>2</v>
      </c>
      <c r="IP31" s="43">
        <v>0</v>
      </c>
      <c r="IQ31" s="43">
        <v>4</v>
      </c>
      <c r="IR31" s="43">
        <v>1</v>
      </c>
      <c r="IS31" s="43">
        <v>1</v>
      </c>
      <c r="IT31" s="43">
        <v>2</v>
      </c>
      <c r="IU31" s="43">
        <v>2</v>
      </c>
      <c r="IV31" s="43">
        <v>0</v>
      </c>
      <c r="IW31" s="43">
        <v>4</v>
      </c>
      <c r="IX31" s="43">
        <v>3</v>
      </c>
      <c r="IY31" s="43">
        <v>0</v>
      </c>
      <c r="IZ31" s="43">
        <v>2</v>
      </c>
      <c r="JA31" s="43">
        <v>1</v>
      </c>
      <c r="JB31" s="43">
        <v>1</v>
      </c>
      <c r="JC31" s="43">
        <v>3</v>
      </c>
      <c r="JD31" s="43">
        <v>1</v>
      </c>
      <c r="JE31" s="43">
        <v>1</v>
      </c>
      <c r="JF31" s="43">
        <v>2</v>
      </c>
      <c r="JG31" s="43">
        <v>0</v>
      </c>
      <c r="JH31" s="43">
        <v>1</v>
      </c>
      <c r="JI31" s="43">
        <v>3</v>
      </c>
      <c r="JJ31" s="43">
        <v>2</v>
      </c>
      <c r="JK31" s="43">
        <v>3</v>
      </c>
      <c r="JL31" s="43">
        <v>2</v>
      </c>
      <c r="JM31" s="43">
        <v>1</v>
      </c>
      <c r="JN31" s="43">
        <v>1</v>
      </c>
      <c r="JO31" s="43">
        <v>3</v>
      </c>
      <c r="JP31" s="43">
        <v>1</v>
      </c>
      <c r="JQ31" s="43">
        <v>0</v>
      </c>
      <c r="JR31" s="43">
        <v>2</v>
      </c>
      <c r="JS31" s="43">
        <v>2</v>
      </c>
      <c r="JT31" s="43">
        <v>1</v>
      </c>
      <c r="JU31" s="43">
        <v>1</v>
      </c>
      <c r="JV31" s="43">
        <v>0</v>
      </c>
      <c r="JW31" s="43">
        <v>0</v>
      </c>
      <c r="JX31" s="43">
        <v>2</v>
      </c>
      <c r="JY31" s="43">
        <v>1</v>
      </c>
      <c r="JZ31" s="43">
        <v>1</v>
      </c>
      <c r="KA31" s="43">
        <v>3</v>
      </c>
      <c r="KB31" s="43">
        <v>2</v>
      </c>
      <c r="KC31" s="43">
        <v>0</v>
      </c>
      <c r="KD31" s="43">
        <v>2</v>
      </c>
      <c r="KE31" s="43">
        <v>0</v>
      </c>
      <c r="KF31" s="43">
        <v>0</v>
      </c>
      <c r="KG31" s="43">
        <v>2</v>
      </c>
      <c r="KH31" s="43">
        <v>0</v>
      </c>
      <c r="KI31" s="43">
        <v>0</v>
      </c>
      <c r="KJ31" s="43">
        <v>1</v>
      </c>
      <c r="KK31" s="43">
        <v>1</v>
      </c>
      <c r="KL31" s="43">
        <v>1</v>
      </c>
      <c r="KM31" s="43">
        <v>0</v>
      </c>
      <c r="KN31" s="43">
        <v>1</v>
      </c>
      <c r="KO31" s="43">
        <v>2</v>
      </c>
    </row>
    <row r="32" spans="1:301" x14ac:dyDescent="0.4">
      <c r="A32" s="43">
        <v>28</v>
      </c>
      <c r="B32" s="43">
        <v>2</v>
      </c>
      <c r="C32" s="43">
        <v>0</v>
      </c>
      <c r="D32" s="43">
        <v>0</v>
      </c>
      <c r="E32" s="43">
        <v>1</v>
      </c>
      <c r="F32" s="43">
        <v>1</v>
      </c>
      <c r="G32" s="43">
        <v>0</v>
      </c>
      <c r="H32" s="43">
        <v>3</v>
      </c>
      <c r="I32" s="43">
        <v>1</v>
      </c>
      <c r="J32" s="43">
        <v>0</v>
      </c>
      <c r="K32" s="43">
        <v>3</v>
      </c>
      <c r="L32" s="43">
        <v>0</v>
      </c>
      <c r="M32" s="43">
        <v>0</v>
      </c>
      <c r="N32" s="43">
        <v>3</v>
      </c>
      <c r="O32" s="43">
        <v>0</v>
      </c>
      <c r="P32" s="43">
        <v>1</v>
      </c>
      <c r="Q32" s="43">
        <v>4</v>
      </c>
      <c r="R32" s="43">
        <v>0</v>
      </c>
      <c r="S32" s="43">
        <v>1</v>
      </c>
      <c r="T32" s="43">
        <v>2</v>
      </c>
      <c r="U32" s="43">
        <v>1</v>
      </c>
      <c r="V32" s="43">
        <v>1</v>
      </c>
      <c r="W32" s="43">
        <v>2</v>
      </c>
      <c r="X32" s="43">
        <v>2</v>
      </c>
      <c r="Y32" s="43">
        <v>0</v>
      </c>
      <c r="Z32" s="43">
        <v>2</v>
      </c>
      <c r="AA32" s="43">
        <v>2</v>
      </c>
      <c r="AB32" s="43">
        <v>2</v>
      </c>
      <c r="AC32" s="43">
        <v>3</v>
      </c>
      <c r="AD32" s="43">
        <v>0</v>
      </c>
      <c r="AE32" s="43">
        <v>0</v>
      </c>
      <c r="AF32" s="43">
        <v>3</v>
      </c>
      <c r="AG32" s="43">
        <v>0</v>
      </c>
      <c r="AH32" s="43">
        <v>2</v>
      </c>
      <c r="AI32" s="43">
        <v>2</v>
      </c>
      <c r="AJ32" s="43">
        <v>0</v>
      </c>
      <c r="AK32" s="43">
        <v>1</v>
      </c>
      <c r="AL32" s="43">
        <v>4</v>
      </c>
      <c r="AM32" s="43">
        <v>4</v>
      </c>
      <c r="AN32" s="43">
        <v>1</v>
      </c>
      <c r="AO32" s="43">
        <v>3</v>
      </c>
      <c r="AP32" s="43">
        <v>1</v>
      </c>
      <c r="AQ32" s="43">
        <v>1</v>
      </c>
      <c r="AR32" s="43">
        <v>2</v>
      </c>
      <c r="AS32" s="43">
        <v>1</v>
      </c>
      <c r="AT32" s="43">
        <v>1</v>
      </c>
      <c r="AU32" s="43">
        <v>4</v>
      </c>
      <c r="AV32" s="43">
        <v>2</v>
      </c>
      <c r="AW32" s="43">
        <v>0</v>
      </c>
      <c r="AX32" s="43">
        <v>0</v>
      </c>
      <c r="AY32" s="43">
        <v>0</v>
      </c>
      <c r="AZ32" s="43">
        <v>0</v>
      </c>
      <c r="BA32" s="43">
        <v>3</v>
      </c>
      <c r="BB32" s="43">
        <v>1</v>
      </c>
      <c r="BC32" s="43">
        <v>0</v>
      </c>
      <c r="BD32" s="43">
        <v>3</v>
      </c>
      <c r="BE32" s="43">
        <v>2</v>
      </c>
      <c r="BF32" s="43">
        <v>1</v>
      </c>
      <c r="BG32" s="43">
        <v>2</v>
      </c>
      <c r="BH32" s="43">
        <v>1</v>
      </c>
      <c r="BI32" s="43">
        <v>1</v>
      </c>
      <c r="BJ32" s="43">
        <v>4</v>
      </c>
      <c r="BK32" s="43">
        <v>0</v>
      </c>
      <c r="BL32" s="43">
        <v>1</v>
      </c>
      <c r="BM32" s="43">
        <v>2</v>
      </c>
      <c r="BN32" s="43">
        <v>1</v>
      </c>
      <c r="BO32" s="43">
        <v>1</v>
      </c>
      <c r="BP32" s="43">
        <v>3</v>
      </c>
      <c r="BQ32" s="43">
        <v>2</v>
      </c>
      <c r="BR32" s="43">
        <v>1</v>
      </c>
      <c r="BS32" s="43">
        <v>3</v>
      </c>
      <c r="BT32" s="43">
        <v>1</v>
      </c>
      <c r="BU32" s="43">
        <v>3</v>
      </c>
      <c r="BV32" s="43">
        <v>3</v>
      </c>
      <c r="BW32" s="43">
        <v>0</v>
      </c>
      <c r="BX32" s="43">
        <v>1</v>
      </c>
      <c r="BY32" s="43">
        <v>4</v>
      </c>
      <c r="BZ32" s="43">
        <v>2</v>
      </c>
      <c r="CA32" s="43">
        <v>0</v>
      </c>
      <c r="CB32" s="43">
        <v>4</v>
      </c>
      <c r="CC32" s="43">
        <v>2</v>
      </c>
      <c r="CD32" s="43">
        <v>0</v>
      </c>
      <c r="CE32" s="43">
        <v>2</v>
      </c>
      <c r="CF32" s="43">
        <v>2</v>
      </c>
      <c r="CG32" s="43">
        <v>0</v>
      </c>
      <c r="CH32" s="43">
        <v>2</v>
      </c>
      <c r="CI32" s="43">
        <v>2</v>
      </c>
      <c r="CJ32" s="43">
        <v>0</v>
      </c>
      <c r="CK32" s="43">
        <v>1</v>
      </c>
      <c r="CL32" s="43">
        <v>2</v>
      </c>
      <c r="CM32" s="43">
        <v>2</v>
      </c>
      <c r="CN32" s="43">
        <v>0</v>
      </c>
      <c r="CO32" s="43">
        <v>3</v>
      </c>
      <c r="CP32" s="43">
        <v>0</v>
      </c>
      <c r="CQ32" s="43">
        <v>4</v>
      </c>
      <c r="CR32" s="43">
        <v>1</v>
      </c>
      <c r="CS32" s="43">
        <v>0</v>
      </c>
      <c r="CT32" s="43">
        <v>1</v>
      </c>
      <c r="CU32" s="43">
        <v>2</v>
      </c>
      <c r="CV32" s="43">
        <v>2</v>
      </c>
      <c r="CW32" s="43">
        <v>1</v>
      </c>
      <c r="CX32" s="43">
        <v>0</v>
      </c>
      <c r="CY32" s="43">
        <v>0</v>
      </c>
      <c r="CZ32" s="43">
        <v>4</v>
      </c>
      <c r="DA32" s="43">
        <v>0</v>
      </c>
      <c r="DB32" s="43">
        <v>2</v>
      </c>
      <c r="DC32" s="43">
        <v>1</v>
      </c>
      <c r="DD32" s="43">
        <v>1</v>
      </c>
      <c r="DE32" s="43">
        <v>0</v>
      </c>
      <c r="DF32" s="43">
        <v>2</v>
      </c>
      <c r="DG32" s="43">
        <v>1</v>
      </c>
      <c r="DH32" s="43">
        <v>1</v>
      </c>
      <c r="DI32" s="43">
        <v>3</v>
      </c>
      <c r="DJ32" s="43">
        <v>0</v>
      </c>
      <c r="DK32" s="43">
        <v>2</v>
      </c>
      <c r="DL32" s="43">
        <v>2</v>
      </c>
      <c r="DM32" s="43">
        <v>2</v>
      </c>
      <c r="DN32" s="43">
        <v>1</v>
      </c>
      <c r="DO32" s="43">
        <v>2</v>
      </c>
      <c r="DP32" s="43">
        <v>0</v>
      </c>
      <c r="DQ32" s="43">
        <v>0</v>
      </c>
      <c r="DR32" s="43">
        <v>2</v>
      </c>
      <c r="DS32" s="43">
        <v>2</v>
      </c>
      <c r="DT32" s="43">
        <v>0</v>
      </c>
      <c r="DU32" s="43">
        <v>4</v>
      </c>
      <c r="DV32" s="43">
        <v>2</v>
      </c>
      <c r="DW32" s="43">
        <v>1</v>
      </c>
      <c r="DX32" s="43">
        <v>4</v>
      </c>
      <c r="DY32" s="43">
        <v>2</v>
      </c>
      <c r="DZ32" s="43">
        <v>0</v>
      </c>
      <c r="EA32" s="43">
        <v>3</v>
      </c>
      <c r="EB32" s="43">
        <v>3</v>
      </c>
      <c r="EC32" s="43">
        <v>1</v>
      </c>
      <c r="ED32" s="43">
        <v>4</v>
      </c>
      <c r="EE32" s="43">
        <v>2</v>
      </c>
      <c r="EF32" s="43">
        <v>0</v>
      </c>
      <c r="EG32" s="43">
        <v>3</v>
      </c>
      <c r="EH32" s="43">
        <v>0</v>
      </c>
      <c r="EI32" s="43">
        <v>0</v>
      </c>
      <c r="EJ32" s="43">
        <v>3</v>
      </c>
      <c r="EK32" s="43">
        <v>1</v>
      </c>
      <c r="EL32" s="43">
        <v>0</v>
      </c>
      <c r="EM32" s="43">
        <v>1</v>
      </c>
      <c r="EN32" s="43">
        <v>2</v>
      </c>
      <c r="EO32" s="43">
        <v>1</v>
      </c>
      <c r="EP32" s="43">
        <v>2</v>
      </c>
      <c r="EQ32" s="43">
        <v>0</v>
      </c>
      <c r="ER32" s="43">
        <v>2</v>
      </c>
      <c r="ES32" s="43">
        <v>3</v>
      </c>
      <c r="ET32" s="43">
        <v>1</v>
      </c>
      <c r="EU32" s="43">
        <v>0</v>
      </c>
      <c r="EV32" s="43">
        <v>3</v>
      </c>
      <c r="EW32" s="43">
        <v>1</v>
      </c>
      <c r="EX32" s="43">
        <v>1</v>
      </c>
      <c r="EY32" s="43">
        <v>1</v>
      </c>
      <c r="EZ32" s="43">
        <v>2</v>
      </c>
      <c r="FA32" s="43">
        <v>2</v>
      </c>
      <c r="FB32" s="43">
        <v>3</v>
      </c>
      <c r="FC32" s="43">
        <v>1</v>
      </c>
      <c r="FD32" s="43">
        <v>0</v>
      </c>
      <c r="FE32" s="43">
        <v>1</v>
      </c>
      <c r="FF32" s="43">
        <v>1</v>
      </c>
      <c r="FG32" s="43">
        <v>1</v>
      </c>
      <c r="FH32" s="43">
        <v>2</v>
      </c>
      <c r="FI32" s="43">
        <v>0</v>
      </c>
      <c r="FJ32" s="43">
        <v>0</v>
      </c>
      <c r="FK32" s="43">
        <v>2</v>
      </c>
      <c r="FL32" s="43">
        <v>1</v>
      </c>
      <c r="FM32" s="43">
        <v>4</v>
      </c>
      <c r="FN32" s="43">
        <v>4</v>
      </c>
      <c r="FO32" s="43">
        <v>2</v>
      </c>
      <c r="FP32" s="43">
        <v>1</v>
      </c>
      <c r="FQ32" s="43">
        <v>2</v>
      </c>
      <c r="FR32" s="43">
        <v>2</v>
      </c>
      <c r="FS32" s="43">
        <v>0</v>
      </c>
      <c r="FT32" s="43">
        <v>2</v>
      </c>
      <c r="FU32" s="43">
        <v>0</v>
      </c>
      <c r="FV32" s="43">
        <v>2</v>
      </c>
      <c r="FW32" s="43">
        <v>2</v>
      </c>
      <c r="FX32" s="43">
        <v>0</v>
      </c>
      <c r="FY32" s="43">
        <v>1</v>
      </c>
      <c r="FZ32" s="43">
        <v>4</v>
      </c>
      <c r="GA32" s="43">
        <v>1</v>
      </c>
      <c r="GB32" s="43">
        <v>1</v>
      </c>
      <c r="GC32" s="43">
        <v>3</v>
      </c>
      <c r="GD32" s="43">
        <v>0</v>
      </c>
      <c r="GE32" s="43">
        <v>1</v>
      </c>
      <c r="GF32" s="43">
        <v>2</v>
      </c>
      <c r="GG32" s="43">
        <v>1</v>
      </c>
      <c r="GH32" s="43">
        <v>1</v>
      </c>
      <c r="GI32" s="43">
        <v>2</v>
      </c>
      <c r="GJ32" s="43">
        <v>0</v>
      </c>
      <c r="GK32" s="43">
        <v>1</v>
      </c>
      <c r="GL32" s="43">
        <v>4</v>
      </c>
      <c r="GM32" s="43">
        <v>2</v>
      </c>
      <c r="GN32" s="43">
        <v>3</v>
      </c>
      <c r="GO32" s="43">
        <v>2</v>
      </c>
      <c r="GP32" s="43">
        <v>0</v>
      </c>
      <c r="GQ32" s="43">
        <v>1</v>
      </c>
      <c r="GR32" s="43">
        <v>3</v>
      </c>
      <c r="GS32" s="43">
        <v>0</v>
      </c>
      <c r="GT32" s="43">
        <v>1</v>
      </c>
      <c r="GU32" s="43">
        <v>3</v>
      </c>
      <c r="GV32" s="43">
        <v>1</v>
      </c>
      <c r="GW32" s="43">
        <v>0</v>
      </c>
      <c r="GX32" s="43">
        <v>3</v>
      </c>
      <c r="GY32" s="43">
        <v>0</v>
      </c>
      <c r="GZ32" s="43">
        <v>0</v>
      </c>
      <c r="HA32" s="43">
        <v>0</v>
      </c>
      <c r="HB32" s="43">
        <v>1</v>
      </c>
      <c r="HC32" s="43">
        <v>0</v>
      </c>
      <c r="HD32" s="43">
        <v>2</v>
      </c>
      <c r="HE32" s="43">
        <v>1</v>
      </c>
      <c r="HF32" s="43">
        <v>1</v>
      </c>
      <c r="HG32" s="43">
        <v>3</v>
      </c>
      <c r="HH32" s="43">
        <v>1</v>
      </c>
      <c r="HI32" s="43">
        <v>1</v>
      </c>
      <c r="HJ32" s="43">
        <v>2</v>
      </c>
      <c r="HK32" s="43">
        <v>0</v>
      </c>
      <c r="HL32" s="43">
        <v>1</v>
      </c>
      <c r="HM32" s="43">
        <v>4</v>
      </c>
      <c r="HN32" s="43">
        <v>1</v>
      </c>
      <c r="HO32" s="43">
        <v>1</v>
      </c>
      <c r="HP32" s="43">
        <v>0</v>
      </c>
      <c r="HQ32" s="43">
        <v>1</v>
      </c>
      <c r="HR32" s="43">
        <v>0</v>
      </c>
      <c r="HS32" s="43">
        <v>3</v>
      </c>
      <c r="HT32" s="43">
        <v>0</v>
      </c>
      <c r="HU32" s="43">
        <v>0</v>
      </c>
      <c r="HV32" s="43">
        <v>1</v>
      </c>
      <c r="HW32" s="43">
        <v>0</v>
      </c>
      <c r="HX32" s="43">
        <v>2</v>
      </c>
      <c r="HY32" s="43">
        <v>1</v>
      </c>
      <c r="HZ32" s="43">
        <v>3</v>
      </c>
      <c r="IA32" s="43">
        <v>0</v>
      </c>
      <c r="IB32" s="43">
        <v>4</v>
      </c>
      <c r="IC32" s="43">
        <v>1</v>
      </c>
      <c r="ID32" s="43">
        <v>2</v>
      </c>
      <c r="IE32" s="43">
        <v>3</v>
      </c>
      <c r="IF32" s="43">
        <v>2</v>
      </c>
      <c r="IG32" s="43">
        <v>0</v>
      </c>
      <c r="IH32" s="43">
        <v>3</v>
      </c>
      <c r="II32" s="43">
        <v>1</v>
      </c>
      <c r="IJ32" s="43">
        <v>0</v>
      </c>
      <c r="IK32" s="43">
        <v>3</v>
      </c>
      <c r="IL32" s="43">
        <v>1</v>
      </c>
      <c r="IM32" s="43">
        <v>1</v>
      </c>
      <c r="IN32" s="43">
        <v>1</v>
      </c>
      <c r="IO32" s="43">
        <v>0</v>
      </c>
      <c r="IP32" s="43">
        <v>0</v>
      </c>
      <c r="IQ32" s="43">
        <v>1</v>
      </c>
      <c r="IR32" s="43">
        <v>2</v>
      </c>
      <c r="IS32" s="43">
        <v>1</v>
      </c>
      <c r="IT32" s="43">
        <v>2</v>
      </c>
      <c r="IU32" s="43">
        <v>1</v>
      </c>
      <c r="IV32" s="43">
        <v>1</v>
      </c>
      <c r="IW32" s="43">
        <v>3</v>
      </c>
      <c r="IX32" s="43">
        <v>1</v>
      </c>
      <c r="IY32" s="43">
        <v>1</v>
      </c>
      <c r="IZ32" s="43">
        <v>3</v>
      </c>
      <c r="JA32" s="43">
        <v>2</v>
      </c>
      <c r="JB32" s="43">
        <v>0</v>
      </c>
      <c r="JC32" s="43">
        <v>2</v>
      </c>
      <c r="JD32" s="43">
        <v>0</v>
      </c>
      <c r="JE32" s="43">
        <v>0</v>
      </c>
      <c r="JF32" s="43">
        <v>2</v>
      </c>
      <c r="JG32" s="43">
        <v>2</v>
      </c>
      <c r="JH32" s="43">
        <v>1</v>
      </c>
      <c r="JI32" s="43">
        <v>4</v>
      </c>
      <c r="JJ32" s="43">
        <v>0</v>
      </c>
      <c r="JK32" s="43">
        <v>2</v>
      </c>
      <c r="JL32" s="43">
        <v>2</v>
      </c>
      <c r="JM32" s="43">
        <v>0</v>
      </c>
      <c r="JN32" s="43">
        <v>0</v>
      </c>
      <c r="JO32" s="43">
        <v>2</v>
      </c>
      <c r="JP32" s="43">
        <v>1</v>
      </c>
      <c r="JQ32" s="43">
        <v>0</v>
      </c>
      <c r="JR32" s="43">
        <v>2</v>
      </c>
      <c r="JS32" s="43">
        <v>0</v>
      </c>
      <c r="JT32" s="43">
        <v>2</v>
      </c>
      <c r="JU32" s="43">
        <v>2</v>
      </c>
      <c r="JV32" s="43">
        <v>1</v>
      </c>
      <c r="JW32" s="43">
        <v>0</v>
      </c>
      <c r="JX32" s="43">
        <v>1</v>
      </c>
      <c r="JY32" s="43">
        <v>1</v>
      </c>
      <c r="JZ32" s="43">
        <v>1</v>
      </c>
      <c r="KA32" s="43">
        <v>3</v>
      </c>
      <c r="KB32" s="43">
        <v>1</v>
      </c>
      <c r="KC32" s="43">
        <v>0</v>
      </c>
      <c r="KD32" s="43">
        <v>1</v>
      </c>
      <c r="KE32" s="43">
        <v>0</v>
      </c>
      <c r="KF32" s="43">
        <v>0</v>
      </c>
      <c r="KG32" s="43">
        <v>2</v>
      </c>
      <c r="KH32" s="43">
        <v>2</v>
      </c>
      <c r="KI32" s="43">
        <v>2</v>
      </c>
      <c r="KJ32" s="43">
        <v>4</v>
      </c>
      <c r="KK32" s="43">
        <v>1</v>
      </c>
      <c r="KL32" s="43">
        <v>0</v>
      </c>
      <c r="KM32" s="43">
        <v>3</v>
      </c>
      <c r="KN32" s="43">
        <v>1</v>
      </c>
      <c r="KO32" s="43">
        <v>0</v>
      </c>
    </row>
    <row r="33" spans="1:301" x14ac:dyDescent="0.4">
      <c r="A33" s="43">
        <v>29</v>
      </c>
      <c r="B33" s="43">
        <v>2</v>
      </c>
      <c r="C33" s="43">
        <v>0</v>
      </c>
      <c r="D33" s="43">
        <v>0</v>
      </c>
      <c r="E33" s="43">
        <v>2</v>
      </c>
      <c r="F33" s="43">
        <v>1</v>
      </c>
      <c r="G33" s="43">
        <v>0</v>
      </c>
      <c r="H33" s="43">
        <v>2</v>
      </c>
      <c r="I33" s="43">
        <v>2</v>
      </c>
      <c r="J33" s="43">
        <v>1</v>
      </c>
      <c r="K33" s="43">
        <v>3</v>
      </c>
      <c r="L33" s="43">
        <v>0</v>
      </c>
      <c r="M33" s="43">
        <v>0</v>
      </c>
      <c r="N33" s="43">
        <v>2</v>
      </c>
      <c r="O33" s="43">
        <v>0</v>
      </c>
      <c r="P33" s="43">
        <v>0</v>
      </c>
      <c r="Q33" s="43">
        <v>1</v>
      </c>
      <c r="R33" s="43">
        <v>2</v>
      </c>
      <c r="S33" s="43">
        <v>1</v>
      </c>
      <c r="T33" s="43">
        <v>1</v>
      </c>
      <c r="U33" s="43">
        <v>0</v>
      </c>
      <c r="V33" s="43">
        <v>1</v>
      </c>
      <c r="W33" s="43">
        <v>1</v>
      </c>
      <c r="X33" s="43">
        <v>0</v>
      </c>
      <c r="Y33" s="43">
        <v>0</v>
      </c>
      <c r="Z33" s="43">
        <v>3</v>
      </c>
      <c r="AA33" s="43">
        <v>1</v>
      </c>
      <c r="AB33" s="43">
        <v>1</v>
      </c>
      <c r="AC33" s="43">
        <v>3</v>
      </c>
      <c r="AD33" s="43">
        <v>2</v>
      </c>
      <c r="AE33" s="43">
        <v>2</v>
      </c>
      <c r="AF33" s="43">
        <v>3</v>
      </c>
      <c r="AG33" s="43">
        <v>1</v>
      </c>
      <c r="AH33" s="43">
        <v>1</v>
      </c>
      <c r="AI33" s="43">
        <v>3</v>
      </c>
      <c r="AJ33" s="43">
        <v>2</v>
      </c>
      <c r="AK33" s="43">
        <v>0</v>
      </c>
      <c r="AL33" s="43">
        <v>2</v>
      </c>
      <c r="AM33" s="43">
        <v>0</v>
      </c>
      <c r="AN33" s="43">
        <v>0</v>
      </c>
      <c r="AO33" s="43">
        <v>3</v>
      </c>
      <c r="AP33" s="43">
        <v>1</v>
      </c>
      <c r="AQ33" s="43">
        <v>2</v>
      </c>
      <c r="AR33" s="43">
        <v>3</v>
      </c>
      <c r="AS33" s="43">
        <v>2</v>
      </c>
      <c r="AT33" s="43">
        <v>1</v>
      </c>
      <c r="AU33" s="43">
        <v>0</v>
      </c>
      <c r="AV33" s="43">
        <v>1</v>
      </c>
      <c r="AW33" s="43">
        <v>1</v>
      </c>
      <c r="AX33" s="43">
        <v>3</v>
      </c>
      <c r="AY33" s="43">
        <v>1</v>
      </c>
      <c r="AZ33" s="43">
        <v>1</v>
      </c>
      <c r="BA33" s="43">
        <v>3</v>
      </c>
      <c r="BB33" s="43">
        <v>2</v>
      </c>
      <c r="BC33" s="43">
        <v>0</v>
      </c>
      <c r="BD33" s="43">
        <v>1</v>
      </c>
      <c r="BE33" s="43">
        <v>2</v>
      </c>
      <c r="BF33" s="43">
        <v>2</v>
      </c>
      <c r="BG33" s="43">
        <v>2</v>
      </c>
      <c r="BH33" s="43">
        <v>2</v>
      </c>
      <c r="BI33" s="43">
        <v>0</v>
      </c>
      <c r="BJ33" s="43">
        <v>3</v>
      </c>
      <c r="BK33" s="43">
        <v>0</v>
      </c>
      <c r="BL33" s="43">
        <v>1</v>
      </c>
      <c r="BM33" s="43">
        <v>4</v>
      </c>
      <c r="BN33" s="43">
        <v>1</v>
      </c>
      <c r="BO33" s="43">
        <v>1</v>
      </c>
      <c r="BP33" s="43">
        <v>4</v>
      </c>
      <c r="BQ33" s="43">
        <v>2</v>
      </c>
      <c r="BR33" s="43">
        <v>0</v>
      </c>
      <c r="BS33" s="43">
        <v>3</v>
      </c>
      <c r="BT33" s="43">
        <v>1</v>
      </c>
      <c r="BU33" s="43">
        <v>0</v>
      </c>
      <c r="BV33" s="43">
        <v>4</v>
      </c>
      <c r="BW33" s="43">
        <v>0</v>
      </c>
      <c r="BX33" s="43">
        <v>1</v>
      </c>
      <c r="BY33" s="43">
        <v>0</v>
      </c>
      <c r="BZ33" s="43">
        <v>2</v>
      </c>
      <c r="CA33" s="43">
        <v>0</v>
      </c>
      <c r="CB33" s="43">
        <v>3</v>
      </c>
      <c r="CC33" s="43">
        <v>0</v>
      </c>
      <c r="CD33" s="43">
        <v>0</v>
      </c>
      <c r="CE33" s="43">
        <v>3</v>
      </c>
      <c r="CF33" s="43">
        <v>0</v>
      </c>
      <c r="CG33" s="43">
        <v>1</v>
      </c>
      <c r="CH33" s="43">
        <v>3</v>
      </c>
      <c r="CI33" s="43">
        <v>0</v>
      </c>
      <c r="CJ33" s="43">
        <v>1</v>
      </c>
      <c r="CK33" s="43">
        <v>0</v>
      </c>
      <c r="CL33" s="43">
        <v>1</v>
      </c>
      <c r="CM33" s="43">
        <v>0</v>
      </c>
      <c r="CN33" s="43">
        <v>4</v>
      </c>
      <c r="CO33" s="43">
        <v>1</v>
      </c>
      <c r="CP33" s="43">
        <v>1</v>
      </c>
      <c r="CQ33" s="43">
        <v>3</v>
      </c>
      <c r="CR33" s="43">
        <v>0</v>
      </c>
      <c r="CS33" s="43">
        <v>1</v>
      </c>
      <c r="CT33" s="43">
        <v>2</v>
      </c>
      <c r="CU33" s="43">
        <v>0</v>
      </c>
      <c r="CV33" s="43">
        <v>3</v>
      </c>
      <c r="CW33" s="43">
        <v>2</v>
      </c>
      <c r="CX33" s="43">
        <v>1</v>
      </c>
      <c r="CY33" s="43">
        <v>0</v>
      </c>
      <c r="CZ33" s="43">
        <v>4</v>
      </c>
      <c r="DA33" s="43">
        <v>0</v>
      </c>
      <c r="DB33" s="43">
        <v>0</v>
      </c>
      <c r="DC33" s="43">
        <v>3</v>
      </c>
      <c r="DD33" s="43">
        <v>0</v>
      </c>
      <c r="DE33" s="43">
        <v>2</v>
      </c>
      <c r="DF33" s="43">
        <v>2</v>
      </c>
      <c r="DG33" s="43">
        <v>0</v>
      </c>
      <c r="DH33" s="43">
        <v>0</v>
      </c>
      <c r="DI33" s="43">
        <v>2</v>
      </c>
      <c r="DJ33" s="43">
        <v>3</v>
      </c>
      <c r="DK33" s="43">
        <v>0</v>
      </c>
      <c r="DL33" s="43">
        <v>2</v>
      </c>
      <c r="DM33" s="43">
        <v>0</v>
      </c>
      <c r="DN33" s="43">
        <v>0</v>
      </c>
      <c r="DO33" s="43">
        <v>2</v>
      </c>
      <c r="DP33" s="43">
        <v>0</v>
      </c>
      <c r="DQ33" s="43">
        <v>2</v>
      </c>
      <c r="DR33" s="43">
        <v>1</v>
      </c>
      <c r="DS33" s="43">
        <v>1</v>
      </c>
      <c r="DT33" s="43">
        <v>0</v>
      </c>
      <c r="DU33" s="43">
        <v>3</v>
      </c>
      <c r="DV33" s="43">
        <v>1</v>
      </c>
      <c r="DW33" s="43">
        <v>2</v>
      </c>
      <c r="DX33" s="43">
        <v>4</v>
      </c>
      <c r="DY33" s="43">
        <v>3</v>
      </c>
      <c r="DZ33" s="43">
        <v>1</v>
      </c>
      <c r="EA33" s="43">
        <v>1</v>
      </c>
      <c r="EB33" s="43">
        <v>0</v>
      </c>
      <c r="EC33" s="43">
        <v>0</v>
      </c>
      <c r="ED33" s="43">
        <v>3</v>
      </c>
      <c r="EE33" s="43">
        <v>0</v>
      </c>
      <c r="EF33" s="43">
        <v>1</v>
      </c>
      <c r="EG33" s="43">
        <v>3</v>
      </c>
      <c r="EH33" s="43">
        <v>2</v>
      </c>
      <c r="EI33" s="43">
        <v>0</v>
      </c>
      <c r="EJ33" s="43">
        <v>3</v>
      </c>
      <c r="EK33" s="43">
        <v>0</v>
      </c>
      <c r="EL33" s="43">
        <v>2</v>
      </c>
      <c r="EM33" s="43">
        <v>2</v>
      </c>
      <c r="EN33" s="43">
        <v>3</v>
      </c>
      <c r="EO33" s="43">
        <v>0</v>
      </c>
      <c r="EP33" s="43">
        <v>3</v>
      </c>
      <c r="EQ33" s="43">
        <v>1</v>
      </c>
      <c r="ER33" s="43">
        <v>0</v>
      </c>
      <c r="ES33" s="43">
        <v>2</v>
      </c>
      <c r="ET33" s="43">
        <v>1</v>
      </c>
      <c r="EU33" s="43">
        <v>1</v>
      </c>
      <c r="EV33" s="43">
        <v>3</v>
      </c>
      <c r="EW33" s="43">
        <v>0</v>
      </c>
      <c r="EX33" s="43">
        <v>0</v>
      </c>
      <c r="EY33" s="43">
        <v>2</v>
      </c>
      <c r="EZ33" s="43">
        <v>3</v>
      </c>
      <c r="FA33" s="43">
        <v>1</v>
      </c>
      <c r="FB33" s="43">
        <v>2</v>
      </c>
      <c r="FC33" s="43">
        <v>1</v>
      </c>
      <c r="FD33" s="43">
        <v>1</v>
      </c>
      <c r="FE33" s="43">
        <v>2</v>
      </c>
      <c r="FF33" s="43">
        <v>2</v>
      </c>
      <c r="FG33" s="43">
        <v>0</v>
      </c>
      <c r="FH33" s="43">
        <v>2</v>
      </c>
      <c r="FI33" s="43">
        <v>1</v>
      </c>
      <c r="FJ33" s="43">
        <v>0</v>
      </c>
      <c r="FK33" s="43">
        <v>2</v>
      </c>
      <c r="FL33" s="43">
        <v>0</v>
      </c>
      <c r="FM33" s="43">
        <v>2</v>
      </c>
      <c r="FN33" s="43">
        <v>2</v>
      </c>
      <c r="FO33" s="43">
        <v>0</v>
      </c>
      <c r="FP33" s="43">
        <v>1</v>
      </c>
      <c r="FQ33" s="43">
        <v>3</v>
      </c>
      <c r="FR33" s="43">
        <v>1</v>
      </c>
      <c r="FS33" s="43">
        <v>1</v>
      </c>
      <c r="FT33" s="43">
        <v>3</v>
      </c>
      <c r="FU33" s="43">
        <v>0</v>
      </c>
      <c r="FV33" s="43">
        <v>0</v>
      </c>
      <c r="FW33" s="43">
        <v>4</v>
      </c>
      <c r="FX33" s="43">
        <v>2</v>
      </c>
      <c r="FY33" s="43">
        <v>0</v>
      </c>
      <c r="FZ33" s="43">
        <v>1</v>
      </c>
      <c r="GA33" s="43">
        <v>0</v>
      </c>
      <c r="GB33" s="43">
        <v>2</v>
      </c>
      <c r="GC33" s="43">
        <v>3</v>
      </c>
      <c r="GD33" s="43">
        <v>2</v>
      </c>
      <c r="GE33" s="43">
        <v>2</v>
      </c>
      <c r="GF33" s="43">
        <v>3</v>
      </c>
      <c r="GG33" s="43">
        <v>2</v>
      </c>
      <c r="GH33" s="43">
        <v>1</v>
      </c>
      <c r="GI33" s="43">
        <v>3</v>
      </c>
      <c r="GJ33" s="43">
        <v>2</v>
      </c>
      <c r="GK33" s="43">
        <v>1</v>
      </c>
      <c r="GL33" s="43">
        <v>2</v>
      </c>
      <c r="GM33" s="43">
        <v>1</v>
      </c>
      <c r="GN33" s="43">
        <v>1</v>
      </c>
      <c r="GO33" s="43">
        <v>2</v>
      </c>
      <c r="GP33" s="43">
        <v>2</v>
      </c>
      <c r="GQ33" s="43">
        <v>1</v>
      </c>
      <c r="GR33" s="43">
        <v>2</v>
      </c>
      <c r="GS33" s="43">
        <v>0</v>
      </c>
      <c r="GT33" s="43">
        <v>3</v>
      </c>
      <c r="GU33" s="43">
        <v>3</v>
      </c>
      <c r="GV33" s="43">
        <v>1</v>
      </c>
      <c r="GW33" s="43">
        <v>1</v>
      </c>
      <c r="GX33" s="43">
        <v>1</v>
      </c>
      <c r="GY33" s="43">
        <v>3</v>
      </c>
      <c r="GZ33" s="43">
        <v>1</v>
      </c>
      <c r="HA33" s="43">
        <v>3</v>
      </c>
      <c r="HB33" s="43">
        <v>1</v>
      </c>
      <c r="HC33" s="43">
        <v>1</v>
      </c>
      <c r="HD33" s="43">
        <v>3</v>
      </c>
      <c r="HE33" s="43">
        <v>2</v>
      </c>
      <c r="HF33" s="43">
        <v>4</v>
      </c>
      <c r="HG33" s="43">
        <v>4</v>
      </c>
      <c r="HH33" s="43">
        <v>1</v>
      </c>
      <c r="HI33" s="43">
        <v>0</v>
      </c>
      <c r="HJ33" s="43">
        <v>3</v>
      </c>
      <c r="HK33" s="43">
        <v>1</v>
      </c>
      <c r="HL33" s="43">
        <v>1</v>
      </c>
      <c r="HM33" s="43">
        <v>4</v>
      </c>
      <c r="HN33" s="43">
        <v>0</v>
      </c>
      <c r="HO33" s="43">
        <v>1</v>
      </c>
      <c r="HP33" s="43">
        <v>2</v>
      </c>
      <c r="HQ33" s="43">
        <v>0</v>
      </c>
      <c r="HR33" s="43">
        <v>1</v>
      </c>
      <c r="HS33" s="43">
        <v>2</v>
      </c>
      <c r="HT33" s="43">
        <v>3</v>
      </c>
      <c r="HU33" s="43">
        <v>1</v>
      </c>
      <c r="HV33" s="43">
        <v>1</v>
      </c>
      <c r="HW33" s="43">
        <v>1</v>
      </c>
      <c r="HX33" s="43">
        <v>0</v>
      </c>
      <c r="HY33" s="43">
        <v>1</v>
      </c>
      <c r="HZ33" s="43">
        <v>1</v>
      </c>
      <c r="IA33" s="43">
        <v>0</v>
      </c>
      <c r="IB33" s="43">
        <v>4</v>
      </c>
      <c r="IC33" s="43">
        <v>1</v>
      </c>
      <c r="ID33" s="43">
        <v>0</v>
      </c>
      <c r="IE33" s="43">
        <v>3</v>
      </c>
      <c r="IF33" s="43">
        <v>2</v>
      </c>
      <c r="IG33" s="43">
        <v>0</v>
      </c>
      <c r="IH33" s="43">
        <v>2</v>
      </c>
      <c r="II33" s="43">
        <v>3</v>
      </c>
      <c r="IJ33" s="43">
        <v>2</v>
      </c>
      <c r="IK33" s="43">
        <v>3</v>
      </c>
      <c r="IL33" s="43">
        <v>1</v>
      </c>
      <c r="IM33" s="43">
        <v>1</v>
      </c>
      <c r="IN33" s="43">
        <v>3</v>
      </c>
      <c r="IO33" s="43">
        <v>1</v>
      </c>
      <c r="IP33" s="43">
        <v>1</v>
      </c>
      <c r="IQ33" s="43">
        <v>2</v>
      </c>
      <c r="IR33" s="43">
        <v>1</v>
      </c>
      <c r="IS33" s="43">
        <v>1</v>
      </c>
      <c r="IT33" s="43">
        <v>3</v>
      </c>
      <c r="IU33" s="43">
        <v>2</v>
      </c>
      <c r="IV33" s="43">
        <v>0</v>
      </c>
      <c r="IW33" s="43">
        <v>2</v>
      </c>
      <c r="IX33" s="43">
        <v>1</v>
      </c>
      <c r="IY33" s="43">
        <v>0</v>
      </c>
      <c r="IZ33" s="43">
        <v>2</v>
      </c>
      <c r="JA33" s="43">
        <v>2</v>
      </c>
      <c r="JB33" s="43">
        <v>1</v>
      </c>
      <c r="JC33" s="43">
        <v>4</v>
      </c>
      <c r="JD33" s="43">
        <v>1</v>
      </c>
      <c r="JE33" s="43">
        <v>0</v>
      </c>
      <c r="JF33" s="43">
        <v>1</v>
      </c>
      <c r="JG33" s="43">
        <v>1</v>
      </c>
      <c r="JH33" s="43">
        <v>3</v>
      </c>
      <c r="JI33" s="43">
        <v>1</v>
      </c>
      <c r="JJ33" s="43">
        <v>2</v>
      </c>
      <c r="JK33" s="43">
        <v>0</v>
      </c>
      <c r="JL33" s="43">
        <v>2</v>
      </c>
      <c r="JM33" s="43">
        <v>4</v>
      </c>
      <c r="JN33" s="43">
        <v>0</v>
      </c>
      <c r="JO33" s="43">
        <v>2</v>
      </c>
      <c r="JP33" s="43">
        <v>0</v>
      </c>
      <c r="JQ33" s="43">
        <v>0</v>
      </c>
      <c r="JR33" s="43">
        <v>1</v>
      </c>
      <c r="JS33" s="43">
        <v>0</v>
      </c>
      <c r="JT33" s="43">
        <v>2</v>
      </c>
      <c r="JU33" s="43">
        <v>2</v>
      </c>
      <c r="JV33" s="43">
        <v>2</v>
      </c>
      <c r="JW33" s="43">
        <v>1</v>
      </c>
      <c r="JX33" s="43">
        <v>1</v>
      </c>
      <c r="JY33" s="43">
        <v>0</v>
      </c>
      <c r="JZ33" s="43">
        <v>2</v>
      </c>
      <c r="KA33" s="43">
        <v>3</v>
      </c>
      <c r="KB33" s="43">
        <v>2</v>
      </c>
      <c r="KC33" s="43">
        <v>0</v>
      </c>
      <c r="KD33" s="43">
        <v>1</v>
      </c>
      <c r="KE33" s="43">
        <v>1</v>
      </c>
      <c r="KF33" s="43">
        <v>1</v>
      </c>
      <c r="KG33" s="43">
        <v>2</v>
      </c>
      <c r="KH33" s="43">
        <v>3</v>
      </c>
      <c r="KI33" s="43">
        <v>1</v>
      </c>
      <c r="KJ33" s="43">
        <v>4</v>
      </c>
      <c r="KK33" s="43">
        <v>1</v>
      </c>
      <c r="KL33" s="43">
        <v>0</v>
      </c>
      <c r="KM33" s="43">
        <v>4</v>
      </c>
      <c r="KN33" s="43">
        <v>1</v>
      </c>
      <c r="KO33" s="43">
        <v>1</v>
      </c>
    </row>
    <row r="34" spans="1:301" x14ac:dyDescent="0.4">
      <c r="A34" s="43">
        <v>30</v>
      </c>
      <c r="B34" s="43">
        <v>2</v>
      </c>
      <c r="C34" s="43">
        <v>0</v>
      </c>
      <c r="D34" s="43">
        <v>1</v>
      </c>
      <c r="E34" s="43">
        <v>1</v>
      </c>
      <c r="F34" s="43">
        <v>2</v>
      </c>
      <c r="G34" s="43">
        <v>0</v>
      </c>
      <c r="H34" s="43">
        <v>3</v>
      </c>
      <c r="I34" s="43">
        <v>2</v>
      </c>
      <c r="J34" s="43">
        <v>1</v>
      </c>
      <c r="K34" s="43">
        <v>4</v>
      </c>
      <c r="L34" s="43">
        <v>1</v>
      </c>
      <c r="M34" s="43">
        <v>1</v>
      </c>
      <c r="N34" s="43">
        <v>2</v>
      </c>
      <c r="O34" s="43">
        <v>2</v>
      </c>
      <c r="P34" s="43">
        <v>2</v>
      </c>
      <c r="Q34" s="43">
        <v>3</v>
      </c>
      <c r="R34" s="43">
        <v>1</v>
      </c>
      <c r="S34" s="43">
        <v>0</v>
      </c>
      <c r="T34" s="43">
        <v>4</v>
      </c>
      <c r="U34" s="43">
        <v>0</v>
      </c>
      <c r="V34" s="43">
        <v>1</v>
      </c>
      <c r="W34" s="43">
        <v>3</v>
      </c>
      <c r="X34" s="43">
        <v>0</v>
      </c>
      <c r="Y34" s="43">
        <v>0</v>
      </c>
      <c r="Z34" s="43">
        <v>2</v>
      </c>
      <c r="AA34" s="43">
        <v>1</v>
      </c>
      <c r="AB34" s="43">
        <v>0</v>
      </c>
      <c r="AC34" s="43">
        <v>1</v>
      </c>
      <c r="AD34" s="43">
        <v>2</v>
      </c>
      <c r="AE34" s="43">
        <v>0</v>
      </c>
      <c r="AF34" s="43">
        <v>2</v>
      </c>
      <c r="AG34" s="43">
        <v>1</v>
      </c>
      <c r="AH34" s="43">
        <v>1</v>
      </c>
      <c r="AI34" s="43">
        <v>2</v>
      </c>
      <c r="AJ34" s="43">
        <v>2</v>
      </c>
      <c r="AK34" s="43">
        <v>0</v>
      </c>
      <c r="AL34" s="43">
        <v>2</v>
      </c>
      <c r="AM34" s="43">
        <v>1</v>
      </c>
      <c r="AN34" s="43">
        <v>0</v>
      </c>
      <c r="AO34" s="43">
        <v>3</v>
      </c>
      <c r="AP34" s="43">
        <v>0</v>
      </c>
      <c r="AQ34" s="43">
        <v>1</v>
      </c>
      <c r="AR34" s="43">
        <v>1</v>
      </c>
      <c r="AS34" s="43">
        <v>1</v>
      </c>
      <c r="AT34" s="43">
        <v>1</v>
      </c>
      <c r="AU34" s="43">
        <v>2</v>
      </c>
      <c r="AV34" s="43">
        <v>0</v>
      </c>
      <c r="AW34" s="43">
        <v>1</v>
      </c>
      <c r="AX34" s="43">
        <v>3</v>
      </c>
      <c r="AY34" s="43">
        <v>2</v>
      </c>
      <c r="AZ34" s="43">
        <v>1</v>
      </c>
      <c r="BA34" s="43">
        <v>3</v>
      </c>
      <c r="BB34" s="43">
        <v>0</v>
      </c>
      <c r="BC34" s="43">
        <v>1</v>
      </c>
      <c r="BD34" s="43">
        <v>1</v>
      </c>
      <c r="BE34" s="43">
        <v>2</v>
      </c>
      <c r="BF34" s="43">
        <v>2</v>
      </c>
      <c r="BG34" s="43">
        <v>1</v>
      </c>
      <c r="BH34" s="43">
        <v>2</v>
      </c>
      <c r="BI34" s="43">
        <v>0</v>
      </c>
      <c r="BJ34" s="43">
        <v>2</v>
      </c>
      <c r="BK34" s="43">
        <v>1</v>
      </c>
      <c r="BL34" s="43">
        <v>0</v>
      </c>
      <c r="BM34" s="43">
        <v>2</v>
      </c>
      <c r="BN34" s="43">
        <v>1</v>
      </c>
      <c r="BO34" s="43">
        <v>0</v>
      </c>
      <c r="BP34" s="43">
        <v>3</v>
      </c>
      <c r="BQ34" s="43">
        <v>1</v>
      </c>
      <c r="BR34" s="43">
        <v>1</v>
      </c>
      <c r="BS34" s="43">
        <v>4</v>
      </c>
      <c r="BT34" s="43">
        <v>3</v>
      </c>
      <c r="BU34" s="43">
        <v>0</v>
      </c>
      <c r="BV34" s="43">
        <v>3</v>
      </c>
      <c r="BW34" s="43">
        <v>4</v>
      </c>
      <c r="BX34" s="43">
        <v>0</v>
      </c>
      <c r="BY34" s="43">
        <v>3</v>
      </c>
      <c r="BZ34" s="43">
        <v>1</v>
      </c>
      <c r="CA34" s="43">
        <v>0</v>
      </c>
      <c r="CB34" s="43">
        <v>4</v>
      </c>
      <c r="CC34" s="43">
        <v>2</v>
      </c>
      <c r="CD34" s="43">
        <v>0</v>
      </c>
      <c r="CE34" s="43">
        <v>1</v>
      </c>
      <c r="CF34" s="43">
        <v>0</v>
      </c>
      <c r="CG34" s="43">
        <v>0</v>
      </c>
      <c r="CH34" s="43">
        <v>3</v>
      </c>
      <c r="CI34" s="43">
        <v>1</v>
      </c>
      <c r="CJ34" s="43">
        <v>1</v>
      </c>
      <c r="CK34" s="43">
        <v>4</v>
      </c>
      <c r="CL34" s="43">
        <v>1</v>
      </c>
      <c r="CM34" s="43">
        <v>2</v>
      </c>
      <c r="CN34" s="43">
        <v>2</v>
      </c>
      <c r="CO34" s="43">
        <v>1</v>
      </c>
      <c r="CP34" s="43">
        <v>1</v>
      </c>
      <c r="CQ34" s="43">
        <v>2</v>
      </c>
      <c r="CR34" s="43">
        <v>1</v>
      </c>
      <c r="CS34" s="43">
        <v>0</v>
      </c>
      <c r="CT34" s="43">
        <v>2</v>
      </c>
      <c r="CU34" s="43">
        <v>1</v>
      </c>
      <c r="CV34" s="43">
        <v>0</v>
      </c>
      <c r="CW34" s="43">
        <v>2</v>
      </c>
      <c r="CX34" s="43">
        <v>1</v>
      </c>
      <c r="CY34" s="43">
        <v>1</v>
      </c>
      <c r="CZ34" s="43">
        <v>2</v>
      </c>
      <c r="DA34" s="43">
        <v>2</v>
      </c>
      <c r="DB34" s="43">
        <v>0</v>
      </c>
      <c r="DC34" s="43">
        <v>2</v>
      </c>
      <c r="DD34" s="43">
        <v>2</v>
      </c>
      <c r="DE34" s="43">
        <v>1</v>
      </c>
      <c r="DF34" s="43">
        <v>1</v>
      </c>
      <c r="DG34" s="43">
        <v>0</v>
      </c>
      <c r="DH34" s="43">
        <v>1</v>
      </c>
      <c r="DI34" s="43">
        <v>3</v>
      </c>
      <c r="DJ34" s="43">
        <v>2</v>
      </c>
      <c r="DK34" s="43">
        <v>2</v>
      </c>
      <c r="DL34" s="43">
        <v>2</v>
      </c>
      <c r="DM34" s="43">
        <v>3</v>
      </c>
      <c r="DN34" s="43">
        <v>0</v>
      </c>
      <c r="DO34" s="43">
        <v>3</v>
      </c>
      <c r="DP34" s="43">
        <v>1</v>
      </c>
      <c r="DQ34" s="43">
        <v>1</v>
      </c>
      <c r="DR34" s="43">
        <v>0</v>
      </c>
      <c r="DS34" s="43">
        <v>3</v>
      </c>
      <c r="DT34" s="43">
        <v>2</v>
      </c>
      <c r="DU34" s="43">
        <v>2</v>
      </c>
      <c r="DV34" s="43">
        <v>0</v>
      </c>
      <c r="DW34" s="43">
        <v>0</v>
      </c>
      <c r="DX34" s="43">
        <v>2</v>
      </c>
      <c r="DY34" s="43">
        <v>1</v>
      </c>
      <c r="DZ34" s="43">
        <v>0</v>
      </c>
      <c r="EA34" s="43">
        <v>2</v>
      </c>
      <c r="EB34" s="43">
        <v>1</v>
      </c>
      <c r="EC34" s="43">
        <v>2</v>
      </c>
      <c r="ED34" s="43">
        <v>2</v>
      </c>
      <c r="EE34" s="43">
        <v>0</v>
      </c>
      <c r="EF34" s="43">
        <v>0</v>
      </c>
      <c r="EG34" s="43">
        <v>3</v>
      </c>
      <c r="EH34" s="43">
        <v>0</v>
      </c>
      <c r="EI34" s="43">
        <v>1</v>
      </c>
      <c r="EJ34" s="43">
        <v>4</v>
      </c>
      <c r="EK34" s="43">
        <v>1</v>
      </c>
      <c r="EL34" s="43">
        <v>1</v>
      </c>
      <c r="EM34" s="43">
        <v>1</v>
      </c>
      <c r="EN34" s="43">
        <v>1</v>
      </c>
      <c r="EO34" s="43">
        <v>2</v>
      </c>
      <c r="EP34" s="43">
        <v>2</v>
      </c>
      <c r="EQ34" s="43">
        <v>2</v>
      </c>
      <c r="ER34" s="43">
        <v>1</v>
      </c>
      <c r="ES34" s="43">
        <v>3</v>
      </c>
      <c r="ET34" s="43">
        <v>0</v>
      </c>
      <c r="EU34" s="43">
        <v>0</v>
      </c>
      <c r="EV34" s="43">
        <v>1</v>
      </c>
      <c r="EW34" s="43">
        <v>1</v>
      </c>
      <c r="EX34" s="43">
        <v>1</v>
      </c>
      <c r="EY34" s="43">
        <v>1</v>
      </c>
      <c r="EZ34" s="43">
        <v>1</v>
      </c>
      <c r="FA34" s="43">
        <v>1</v>
      </c>
      <c r="FB34" s="43">
        <v>2</v>
      </c>
      <c r="FC34" s="43">
        <v>2</v>
      </c>
      <c r="FD34" s="43">
        <v>0</v>
      </c>
      <c r="FE34" s="43">
        <v>4</v>
      </c>
      <c r="FF34" s="43">
        <v>1</v>
      </c>
      <c r="FG34" s="43">
        <v>0</v>
      </c>
      <c r="FH34" s="43">
        <v>1</v>
      </c>
      <c r="FI34" s="43">
        <v>0</v>
      </c>
      <c r="FJ34" s="43">
        <v>1</v>
      </c>
      <c r="FK34" s="43">
        <v>2</v>
      </c>
      <c r="FL34" s="43">
        <v>1</v>
      </c>
      <c r="FM34" s="43">
        <v>0</v>
      </c>
      <c r="FN34" s="43">
        <v>3</v>
      </c>
      <c r="FO34" s="43">
        <v>2</v>
      </c>
      <c r="FP34" s="43">
        <v>2</v>
      </c>
      <c r="FQ34" s="43">
        <v>2</v>
      </c>
      <c r="FR34" s="43">
        <v>3</v>
      </c>
      <c r="FS34" s="43">
        <v>1</v>
      </c>
      <c r="FT34" s="43">
        <v>1</v>
      </c>
      <c r="FU34" s="43">
        <v>2</v>
      </c>
      <c r="FV34" s="43">
        <v>1</v>
      </c>
      <c r="FW34" s="43">
        <v>2</v>
      </c>
      <c r="FX34" s="43">
        <v>0</v>
      </c>
      <c r="FY34" s="43">
        <v>1</v>
      </c>
      <c r="FZ34" s="43">
        <v>1</v>
      </c>
      <c r="GA34" s="43">
        <v>2</v>
      </c>
      <c r="GB34" s="43">
        <v>1</v>
      </c>
      <c r="GC34" s="43">
        <v>1</v>
      </c>
      <c r="GD34" s="43">
        <v>0</v>
      </c>
      <c r="GE34" s="43">
        <v>0</v>
      </c>
      <c r="GF34" s="43">
        <v>3</v>
      </c>
      <c r="GG34" s="43">
        <v>1</v>
      </c>
      <c r="GH34" s="43">
        <v>1</v>
      </c>
      <c r="GI34" s="43">
        <v>1</v>
      </c>
      <c r="GJ34" s="43">
        <v>2</v>
      </c>
      <c r="GK34" s="43">
        <v>1</v>
      </c>
      <c r="GL34" s="43">
        <v>2</v>
      </c>
      <c r="GM34" s="43">
        <v>0</v>
      </c>
      <c r="GN34" s="43">
        <v>0</v>
      </c>
      <c r="GO34" s="43">
        <v>4</v>
      </c>
      <c r="GP34" s="43">
        <v>0</v>
      </c>
      <c r="GQ34" s="43">
        <v>2</v>
      </c>
      <c r="GR34" s="43">
        <v>2</v>
      </c>
      <c r="GS34" s="43">
        <v>0</v>
      </c>
      <c r="GT34" s="43">
        <v>1</v>
      </c>
      <c r="GU34" s="43">
        <v>2</v>
      </c>
      <c r="GV34" s="43">
        <v>0</v>
      </c>
      <c r="GW34" s="43">
        <v>1</v>
      </c>
      <c r="GX34" s="43">
        <v>4</v>
      </c>
      <c r="GY34" s="43">
        <v>0</v>
      </c>
      <c r="GZ34" s="43">
        <v>1</v>
      </c>
      <c r="HA34" s="43">
        <v>2</v>
      </c>
      <c r="HB34" s="43">
        <v>2</v>
      </c>
      <c r="HC34" s="43">
        <v>0</v>
      </c>
      <c r="HD34" s="43">
        <v>2</v>
      </c>
      <c r="HE34" s="43">
        <v>0</v>
      </c>
      <c r="HF34" s="43">
        <v>1</v>
      </c>
      <c r="HG34" s="43">
        <v>2</v>
      </c>
      <c r="HH34" s="43">
        <v>2</v>
      </c>
      <c r="HI34" s="43">
        <v>0</v>
      </c>
      <c r="HJ34" s="43">
        <v>2</v>
      </c>
      <c r="HK34" s="43">
        <v>2</v>
      </c>
      <c r="HL34" s="43">
        <v>0</v>
      </c>
      <c r="HM34" s="43">
        <v>2</v>
      </c>
      <c r="HN34" s="43">
        <v>0</v>
      </c>
      <c r="HO34" s="43">
        <v>1</v>
      </c>
      <c r="HP34" s="43">
        <v>3</v>
      </c>
      <c r="HQ34" s="43">
        <v>0</v>
      </c>
      <c r="HR34" s="43">
        <v>1</v>
      </c>
      <c r="HS34" s="43">
        <v>2</v>
      </c>
      <c r="HT34" s="43">
        <v>1</v>
      </c>
      <c r="HU34" s="43">
        <v>2</v>
      </c>
      <c r="HV34" s="43">
        <v>2</v>
      </c>
      <c r="HW34" s="43">
        <v>0</v>
      </c>
      <c r="HX34" s="43">
        <v>0</v>
      </c>
      <c r="HY34" s="43">
        <v>2</v>
      </c>
      <c r="HZ34" s="43">
        <v>0</v>
      </c>
      <c r="IA34" s="43">
        <v>0</v>
      </c>
      <c r="IB34" s="43">
        <v>3</v>
      </c>
      <c r="IC34" s="43">
        <v>0</v>
      </c>
      <c r="ID34" s="43">
        <v>2</v>
      </c>
      <c r="IE34" s="43">
        <v>1</v>
      </c>
      <c r="IF34" s="43">
        <v>0</v>
      </c>
      <c r="IG34" s="43">
        <v>0</v>
      </c>
      <c r="IH34" s="43">
        <v>3</v>
      </c>
      <c r="II34" s="43">
        <v>1</v>
      </c>
      <c r="IJ34" s="43">
        <v>2</v>
      </c>
      <c r="IK34" s="43">
        <v>3</v>
      </c>
      <c r="IL34" s="43">
        <v>3</v>
      </c>
      <c r="IM34" s="43">
        <v>1</v>
      </c>
      <c r="IN34" s="43">
        <v>2</v>
      </c>
      <c r="IO34" s="43">
        <v>1</v>
      </c>
      <c r="IP34" s="43">
        <v>1</v>
      </c>
      <c r="IQ34" s="43">
        <v>2</v>
      </c>
      <c r="IR34" s="43">
        <v>2</v>
      </c>
      <c r="IS34" s="43">
        <v>1</v>
      </c>
      <c r="IT34" s="43">
        <v>2</v>
      </c>
      <c r="IU34" s="43">
        <v>0</v>
      </c>
      <c r="IV34" s="43">
        <v>0</v>
      </c>
      <c r="IW34" s="43">
        <v>2</v>
      </c>
      <c r="IX34" s="43">
        <v>0</v>
      </c>
      <c r="IY34" s="43">
        <v>0</v>
      </c>
      <c r="IZ34" s="43">
        <v>4</v>
      </c>
      <c r="JA34" s="43">
        <v>2</v>
      </c>
      <c r="JB34" s="43">
        <v>0</v>
      </c>
      <c r="JC34" s="43">
        <v>3</v>
      </c>
      <c r="JD34" s="43">
        <v>3</v>
      </c>
      <c r="JE34" s="43">
        <v>0</v>
      </c>
      <c r="JF34" s="43">
        <v>3</v>
      </c>
      <c r="JG34" s="43">
        <v>3</v>
      </c>
      <c r="JH34" s="43">
        <v>1</v>
      </c>
      <c r="JI34" s="43">
        <v>1</v>
      </c>
      <c r="JJ34" s="43">
        <v>1</v>
      </c>
      <c r="JK34" s="43">
        <v>0</v>
      </c>
      <c r="JL34" s="43">
        <v>1</v>
      </c>
      <c r="JM34" s="43">
        <v>2</v>
      </c>
      <c r="JN34" s="43">
        <v>0</v>
      </c>
      <c r="JO34" s="43">
        <v>2</v>
      </c>
      <c r="JP34" s="43">
        <v>2</v>
      </c>
      <c r="JQ34" s="43">
        <v>0</v>
      </c>
      <c r="JR34" s="43">
        <v>1</v>
      </c>
      <c r="JS34" s="43">
        <v>0</v>
      </c>
      <c r="JT34" s="43">
        <v>4</v>
      </c>
      <c r="JU34" s="43">
        <v>2</v>
      </c>
      <c r="JV34" s="43">
        <v>2</v>
      </c>
      <c r="JW34" s="43">
        <v>0</v>
      </c>
      <c r="JX34" s="43">
        <v>1</v>
      </c>
      <c r="JY34" s="43">
        <v>1</v>
      </c>
      <c r="JZ34" s="43">
        <v>0</v>
      </c>
      <c r="KA34" s="43">
        <v>1</v>
      </c>
      <c r="KB34" s="43">
        <v>2</v>
      </c>
      <c r="KC34" s="43">
        <v>1</v>
      </c>
      <c r="KD34" s="43">
        <v>2</v>
      </c>
      <c r="KE34" s="43">
        <v>0</v>
      </c>
      <c r="KF34" s="43">
        <v>0</v>
      </c>
      <c r="KG34" s="43">
        <v>1</v>
      </c>
      <c r="KH34" s="43">
        <v>3</v>
      </c>
      <c r="KI34" s="43">
        <v>0</v>
      </c>
      <c r="KJ34" s="43">
        <v>1</v>
      </c>
      <c r="KK34" s="43">
        <v>1</v>
      </c>
      <c r="KL34" s="43">
        <v>0</v>
      </c>
      <c r="KM34" s="43">
        <v>1</v>
      </c>
      <c r="KN34" s="43">
        <v>1</v>
      </c>
      <c r="KO34" s="43">
        <v>2</v>
      </c>
    </row>
    <row r="35" spans="1:301" x14ac:dyDescent="0.4">
      <c r="A35" s="43">
        <v>31</v>
      </c>
      <c r="B35" s="43">
        <v>2</v>
      </c>
      <c r="C35" s="43">
        <v>2</v>
      </c>
      <c r="D35" s="43">
        <v>1</v>
      </c>
      <c r="E35" s="43">
        <v>2</v>
      </c>
      <c r="F35" s="43">
        <v>1</v>
      </c>
      <c r="G35" s="43">
        <v>0</v>
      </c>
      <c r="H35" s="43">
        <v>3</v>
      </c>
      <c r="I35" s="43">
        <v>1</v>
      </c>
      <c r="J35" s="43">
        <v>0</v>
      </c>
      <c r="K35" s="43">
        <v>3</v>
      </c>
      <c r="L35" s="43">
        <v>2</v>
      </c>
      <c r="M35" s="43">
        <v>2</v>
      </c>
      <c r="N35" s="43">
        <v>0</v>
      </c>
      <c r="O35" s="43">
        <v>0</v>
      </c>
      <c r="P35" s="43">
        <v>0</v>
      </c>
      <c r="Q35" s="43">
        <v>4</v>
      </c>
      <c r="R35" s="43">
        <v>0</v>
      </c>
      <c r="S35" s="43">
        <v>1</v>
      </c>
      <c r="T35" s="43">
        <v>3</v>
      </c>
      <c r="U35" s="43">
        <v>0</v>
      </c>
      <c r="V35" s="43">
        <v>1</v>
      </c>
      <c r="W35" s="43">
        <v>1</v>
      </c>
      <c r="X35" s="43">
        <v>0</v>
      </c>
      <c r="Y35" s="43">
        <v>0</v>
      </c>
      <c r="Z35" s="43">
        <v>4</v>
      </c>
      <c r="AA35" s="43">
        <v>0</v>
      </c>
      <c r="AB35" s="43">
        <v>0</v>
      </c>
      <c r="AC35" s="43">
        <v>1</v>
      </c>
      <c r="AD35" s="43">
        <v>2</v>
      </c>
      <c r="AE35" s="43">
        <v>1</v>
      </c>
      <c r="AF35" s="43">
        <v>2</v>
      </c>
      <c r="AG35" s="43">
        <v>1</v>
      </c>
      <c r="AH35" s="43">
        <v>3</v>
      </c>
      <c r="AI35" s="43">
        <v>3</v>
      </c>
      <c r="AJ35" s="43">
        <v>1</v>
      </c>
      <c r="AK35" s="43">
        <v>1</v>
      </c>
      <c r="AL35" s="43">
        <v>3</v>
      </c>
      <c r="AM35" s="43">
        <v>1</v>
      </c>
      <c r="AN35" s="43">
        <v>2</v>
      </c>
      <c r="AO35" s="43">
        <v>0</v>
      </c>
      <c r="AP35" s="43">
        <v>1</v>
      </c>
      <c r="AQ35" s="43">
        <v>1</v>
      </c>
      <c r="AR35" s="43">
        <v>3</v>
      </c>
      <c r="AS35" s="43">
        <v>2</v>
      </c>
      <c r="AT35" s="43">
        <v>0</v>
      </c>
      <c r="AU35" s="43">
        <v>4</v>
      </c>
      <c r="AV35" s="43">
        <v>3</v>
      </c>
      <c r="AW35" s="43">
        <v>1</v>
      </c>
      <c r="AX35" s="43">
        <v>1</v>
      </c>
      <c r="AY35" s="43">
        <v>1</v>
      </c>
      <c r="AZ35" s="43">
        <v>0</v>
      </c>
      <c r="BA35" s="43">
        <v>3</v>
      </c>
      <c r="BB35" s="43">
        <v>1</v>
      </c>
      <c r="BC35" s="43">
        <v>1</v>
      </c>
      <c r="BD35" s="43">
        <v>1</v>
      </c>
      <c r="BE35" s="43">
        <v>2</v>
      </c>
      <c r="BF35" s="43">
        <v>2</v>
      </c>
      <c r="BG35" s="43">
        <v>4</v>
      </c>
      <c r="BH35" s="43">
        <v>1</v>
      </c>
      <c r="BI35" s="43">
        <v>2</v>
      </c>
      <c r="BJ35" s="43">
        <v>2</v>
      </c>
      <c r="BK35" s="43">
        <v>1</v>
      </c>
      <c r="BL35" s="43">
        <v>0</v>
      </c>
      <c r="BM35" s="43">
        <v>3</v>
      </c>
      <c r="BN35" s="43">
        <v>1</v>
      </c>
      <c r="BO35" s="43">
        <v>0</v>
      </c>
      <c r="BP35" s="43">
        <v>1</v>
      </c>
      <c r="BQ35" s="43">
        <v>1</v>
      </c>
      <c r="BR35" s="43">
        <v>0</v>
      </c>
      <c r="BS35" s="43">
        <v>4</v>
      </c>
      <c r="BT35" s="43">
        <v>0</v>
      </c>
      <c r="BU35" s="43">
        <v>0</v>
      </c>
      <c r="BV35" s="43">
        <v>2</v>
      </c>
      <c r="BW35" s="43">
        <v>1</v>
      </c>
      <c r="BX35" s="43">
        <v>1</v>
      </c>
      <c r="BY35" s="43">
        <v>4</v>
      </c>
      <c r="BZ35" s="43">
        <v>2</v>
      </c>
      <c r="CA35" s="43">
        <v>0</v>
      </c>
      <c r="CB35" s="43">
        <v>3</v>
      </c>
      <c r="CC35" s="43">
        <v>1</v>
      </c>
      <c r="CD35" s="43">
        <v>1</v>
      </c>
      <c r="CE35" s="43">
        <v>2</v>
      </c>
      <c r="CF35" s="43">
        <v>1</v>
      </c>
      <c r="CG35" s="43">
        <v>0</v>
      </c>
      <c r="CH35" s="43">
        <v>1</v>
      </c>
      <c r="CI35" s="43">
        <v>1</v>
      </c>
      <c r="CJ35" s="43">
        <v>0</v>
      </c>
      <c r="CK35" s="43">
        <v>2</v>
      </c>
      <c r="CL35" s="43">
        <v>2</v>
      </c>
      <c r="CM35" s="43">
        <v>1</v>
      </c>
      <c r="CN35" s="43">
        <v>3</v>
      </c>
      <c r="CO35" s="43">
        <v>1</v>
      </c>
      <c r="CP35" s="43">
        <v>2</v>
      </c>
      <c r="CQ35" s="43">
        <v>2</v>
      </c>
      <c r="CR35" s="43">
        <v>1</v>
      </c>
      <c r="CS35" s="43">
        <v>1</v>
      </c>
      <c r="CT35" s="43">
        <v>2</v>
      </c>
      <c r="CU35" s="43">
        <v>1</v>
      </c>
      <c r="CV35" s="43">
        <v>0</v>
      </c>
      <c r="CW35" s="43">
        <v>4</v>
      </c>
      <c r="CX35" s="43">
        <v>0</v>
      </c>
      <c r="CY35" s="43">
        <v>1</v>
      </c>
      <c r="CZ35" s="43">
        <v>1</v>
      </c>
      <c r="DA35" s="43">
        <v>3</v>
      </c>
      <c r="DB35" s="43">
        <v>2</v>
      </c>
      <c r="DC35" s="43">
        <v>2</v>
      </c>
      <c r="DD35" s="43">
        <v>1</v>
      </c>
      <c r="DE35" s="43">
        <v>0</v>
      </c>
      <c r="DF35" s="43">
        <v>2</v>
      </c>
      <c r="DG35" s="43">
        <v>1</v>
      </c>
      <c r="DH35" s="43">
        <v>0</v>
      </c>
      <c r="DI35" s="43">
        <v>3</v>
      </c>
      <c r="DJ35" s="43">
        <v>0</v>
      </c>
      <c r="DK35" s="43">
        <v>0</v>
      </c>
      <c r="DL35" s="43">
        <v>2</v>
      </c>
      <c r="DM35" s="43">
        <v>1</v>
      </c>
      <c r="DN35" s="43">
        <v>1</v>
      </c>
      <c r="DO35" s="43">
        <v>1</v>
      </c>
      <c r="DP35" s="43">
        <v>2</v>
      </c>
      <c r="DQ35" s="43">
        <v>0</v>
      </c>
      <c r="DR35" s="43">
        <v>3</v>
      </c>
      <c r="DS35" s="43">
        <v>1</v>
      </c>
      <c r="DT35" s="43">
        <v>1</v>
      </c>
      <c r="DU35" s="43">
        <v>3</v>
      </c>
      <c r="DV35" s="43">
        <v>0</v>
      </c>
      <c r="DW35" s="43">
        <v>0</v>
      </c>
      <c r="DX35" s="43">
        <v>2</v>
      </c>
      <c r="DY35" s="43">
        <v>1</v>
      </c>
      <c r="DZ35" s="43">
        <v>1</v>
      </c>
      <c r="EA35" s="43">
        <v>2</v>
      </c>
      <c r="EB35" s="43">
        <v>1</v>
      </c>
      <c r="EC35" s="43">
        <v>1</v>
      </c>
      <c r="ED35" s="43">
        <v>2</v>
      </c>
      <c r="EE35" s="43">
        <v>1</v>
      </c>
      <c r="EF35" s="43">
        <v>0</v>
      </c>
      <c r="EG35" s="43">
        <v>2</v>
      </c>
      <c r="EH35" s="43">
        <v>2</v>
      </c>
      <c r="EI35" s="43">
        <v>2</v>
      </c>
      <c r="EJ35" s="43">
        <v>1</v>
      </c>
      <c r="EK35" s="43">
        <v>1</v>
      </c>
      <c r="EL35" s="43">
        <v>1</v>
      </c>
      <c r="EM35" s="43">
        <v>2</v>
      </c>
      <c r="EN35" s="43">
        <v>0</v>
      </c>
      <c r="EO35" s="43">
        <v>0</v>
      </c>
      <c r="EP35" s="43">
        <v>3</v>
      </c>
      <c r="EQ35" s="43">
        <v>0</v>
      </c>
      <c r="ER35" s="43">
        <v>1</v>
      </c>
      <c r="ES35" s="43">
        <v>3</v>
      </c>
      <c r="ET35" s="43">
        <v>1</v>
      </c>
      <c r="EU35" s="43">
        <v>1</v>
      </c>
      <c r="EV35" s="43">
        <v>2</v>
      </c>
      <c r="EW35" s="43">
        <v>0</v>
      </c>
      <c r="EX35" s="43">
        <v>1</v>
      </c>
      <c r="EY35" s="43">
        <v>1</v>
      </c>
      <c r="EZ35" s="43">
        <v>1</v>
      </c>
      <c r="FA35" s="43">
        <v>2</v>
      </c>
      <c r="FB35" s="43">
        <v>4</v>
      </c>
      <c r="FC35" s="43">
        <v>2</v>
      </c>
      <c r="FD35" s="43">
        <v>0</v>
      </c>
      <c r="FE35" s="43">
        <v>3</v>
      </c>
      <c r="FF35" s="43">
        <v>0</v>
      </c>
      <c r="FG35" s="43">
        <v>0</v>
      </c>
      <c r="FH35" s="43">
        <v>2</v>
      </c>
      <c r="FI35" s="43">
        <v>1</v>
      </c>
      <c r="FJ35" s="43">
        <v>1</v>
      </c>
      <c r="FK35" s="43">
        <v>3</v>
      </c>
      <c r="FL35" s="43">
        <v>2</v>
      </c>
      <c r="FM35" s="43">
        <v>2</v>
      </c>
      <c r="FN35" s="43">
        <v>3</v>
      </c>
      <c r="FO35" s="43">
        <v>1</v>
      </c>
      <c r="FP35" s="43">
        <v>2</v>
      </c>
      <c r="FQ35" s="43">
        <v>1</v>
      </c>
      <c r="FR35" s="43">
        <v>0</v>
      </c>
      <c r="FS35" s="43">
        <v>0</v>
      </c>
      <c r="FT35" s="43">
        <v>1</v>
      </c>
      <c r="FU35" s="43">
        <v>0</v>
      </c>
      <c r="FV35" s="43">
        <v>0</v>
      </c>
      <c r="FW35" s="43">
        <v>3</v>
      </c>
      <c r="FX35" s="43">
        <v>0</v>
      </c>
      <c r="FY35" s="43">
        <v>0</v>
      </c>
      <c r="FZ35" s="43">
        <v>3</v>
      </c>
      <c r="GA35" s="43">
        <v>1</v>
      </c>
      <c r="GB35" s="43">
        <v>3</v>
      </c>
      <c r="GC35" s="43">
        <v>4</v>
      </c>
      <c r="GD35" s="43">
        <v>1</v>
      </c>
      <c r="GE35" s="43">
        <v>1</v>
      </c>
      <c r="GF35" s="43">
        <v>3</v>
      </c>
      <c r="GG35" s="43">
        <v>2</v>
      </c>
      <c r="GH35" s="43">
        <v>2</v>
      </c>
      <c r="GI35" s="43">
        <v>2</v>
      </c>
      <c r="GJ35" s="43">
        <v>3</v>
      </c>
      <c r="GK35" s="43">
        <v>0</v>
      </c>
      <c r="GL35" s="43">
        <v>2</v>
      </c>
      <c r="GM35" s="43">
        <v>3</v>
      </c>
      <c r="GN35" s="43">
        <v>0</v>
      </c>
      <c r="GO35" s="43">
        <v>1</v>
      </c>
      <c r="GP35" s="43">
        <v>1</v>
      </c>
      <c r="GQ35" s="43">
        <v>0</v>
      </c>
      <c r="GR35" s="43">
        <v>2</v>
      </c>
      <c r="GS35" s="43">
        <v>1</v>
      </c>
      <c r="GT35" s="43">
        <v>0</v>
      </c>
      <c r="GU35" s="43">
        <v>4</v>
      </c>
      <c r="GV35" s="43">
        <v>0</v>
      </c>
      <c r="GW35" s="43">
        <v>0</v>
      </c>
      <c r="GX35" s="43">
        <v>1</v>
      </c>
      <c r="GY35" s="43">
        <v>3</v>
      </c>
      <c r="GZ35" s="43">
        <v>0</v>
      </c>
      <c r="HA35" s="43">
        <v>3</v>
      </c>
      <c r="HB35" s="43">
        <v>1</v>
      </c>
      <c r="HC35" s="43">
        <v>1</v>
      </c>
      <c r="HD35" s="43">
        <v>3</v>
      </c>
      <c r="HE35" s="43">
        <v>1</v>
      </c>
      <c r="HF35" s="43">
        <v>1</v>
      </c>
      <c r="HG35" s="43">
        <v>0</v>
      </c>
      <c r="HH35" s="43">
        <v>1</v>
      </c>
      <c r="HI35" s="43">
        <v>1</v>
      </c>
      <c r="HJ35" s="43">
        <v>4</v>
      </c>
      <c r="HK35" s="43">
        <v>2</v>
      </c>
      <c r="HL35" s="43">
        <v>2</v>
      </c>
      <c r="HM35" s="43">
        <v>2</v>
      </c>
      <c r="HN35" s="43">
        <v>1</v>
      </c>
      <c r="HO35" s="43">
        <v>0</v>
      </c>
      <c r="HP35" s="43">
        <v>3</v>
      </c>
      <c r="HQ35" s="43">
        <v>1</v>
      </c>
      <c r="HR35" s="43">
        <v>1</v>
      </c>
      <c r="HS35" s="43">
        <v>3</v>
      </c>
      <c r="HT35" s="43">
        <v>1</v>
      </c>
      <c r="HU35" s="43">
        <v>0</v>
      </c>
      <c r="HV35" s="43">
        <v>1</v>
      </c>
      <c r="HW35" s="43">
        <v>1</v>
      </c>
      <c r="HX35" s="43">
        <v>0</v>
      </c>
      <c r="HY35" s="43">
        <v>1</v>
      </c>
      <c r="HZ35" s="43">
        <v>0</v>
      </c>
      <c r="IA35" s="43">
        <v>1</v>
      </c>
      <c r="IB35" s="43">
        <v>3</v>
      </c>
      <c r="IC35" s="43">
        <v>2</v>
      </c>
      <c r="ID35" s="43">
        <v>0</v>
      </c>
      <c r="IE35" s="43">
        <v>3</v>
      </c>
      <c r="IF35" s="43">
        <v>2</v>
      </c>
      <c r="IG35" s="43">
        <v>1</v>
      </c>
      <c r="IH35" s="43">
        <v>2</v>
      </c>
      <c r="II35" s="43">
        <v>0</v>
      </c>
      <c r="IJ35" s="43">
        <v>0</v>
      </c>
      <c r="IK35" s="43">
        <v>3</v>
      </c>
      <c r="IL35" s="43">
        <v>2</v>
      </c>
      <c r="IM35" s="43">
        <v>2</v>
      </c>
      <c r="IN35" s="43">
        <v>2</v>
      </c>
      <c r="IO35" s="43">
        <v>0</v>
      </c>
      <c r="IP35" s="43">
        <v>0</v>
      </c>
      <c r="IQ35" s="43">
        <v>0</v>
      </c>
      <c r="IR35" s="43">
        <v>1</v>
      </c>
      <c r="IS35" s="43">
        <v>2</v>
      </c>
      <c r="IT35" s="43">
        <v>3</v>
      </c>
      <c r="IU35" s="43">
        <v>3</v>
      </c>
      <c r="IV35" s="43">
        <v>1</v>
      </c>
      <c r="IW35" s="43">
        <v>3</v>
      </c>
      <c r="IX35" s="43">
        <v>0</v>
      </c>
      <c r="IY35" s="43">
        <v>0</v>
      </c>
      <c r="IZ35" s="43">
        <v>2</v>
      </c>
      <c r="JA35" s="43">
        <v>3</v>
      </c>
      <c r="JB35" s="43">
        <v>0</v>
      </c>
      <c r="JC35" s="43">
        <v>3</v>
      </c>
      <c r="JD35" s="43">
        <v>2</v>
      </c>
      <c r="JE35" s="43">
        <v>0</v>
      </c>
      <c r="JF35" s="43">
        <v>2</v>
      </c>
      <c r="JG35" s="43">
        <v>2</v>
      </c>
      <c r="JH35" s="43">
        <v>0</v>
      </c>
      <c r="JI35" s="43">
        <v>2</v>
      </c>
      <c r="JJ35" s="43">
        <v>1</v>
      </c>
      <c r="JK35" s="43">
        <v>0</v>
      </c>
      <c r="JL35" s="43">
        <v>2</v>
      </c>
      <c r="JM35" s="43">
        <v>2</v>
      </c>
      <c r="JN35" s="43">
        <v>0</v>
      </c>
      <c r="JO35" s="43">
        <v>1</v>
      </c>
      <c r="JP35" s="43">
        <v>1</v>
      </c>
      <c r="JQ35" s="43">
        <v>2</v>
      </c>
      <c r="JR35" s="43">
        <v>2</v>
      </c>
      <c r="JS35" s="43">
        <v>2</v>
      </c>
      <c r="JT35" s="43">
        <v>0</v>
      </c>
      <c r="JU35" s="43">
        <v>1</v>
      </c>
      <c r="JV35" s="43">
        <v>2</v>
      </c>
      <c r="JW35" s="43">
        <v>0</v>
      </c>
      <c r="JX35" s="43">
        <v>3</v>
      </c>
      <c r="JY35" s="43">
        <v>0</v>
      </c>
      <c r="JZ35" s="43">
        <v>1</v>
      </c>
      <c r="KA35" s="43">
        <v>1</v>
      </c>
      <c r="KB35" s="43">
        <v>0</v>
      </c>
      <c r="KC35" s="43">
        <v>0</v>
      </c>
      <c r="KD35" s="43">
        <v>4</v>
      </c>
      <c r="KE35" s="43">
        <v>0</v>
      </c>
      <c r="KF35" s="43">
        <v>0</v>
      </c>
      <c r="KG35" s="43">
        <v>1</v>
      </c>
      <c r="KH35" s="43">
        <v>2</v>
      </c>
      <c r="KI35" s="43">
        <v>1</v>
      </c>
      <c r="KJ35" s="43">
        <v>3</v>
      </c>
      <c r="KK35" s="43">
        <v>1</v>
      </c>
      <c r="KL35" s="43">
        <v>1</v>
      </c>
      <c r="KM35" s="43">
        <v>4</v>
      </c>
      <c r="KN35" s="43">
        <v>0</v>
      </c>
      <c r="KO35" s="43">
        <v>0</v>
      </c>
    </row>
    <row r="36" spans="1:301" x14ac:dyDescent="0.4">
      <c r="A36" s="43">
        <v>32</v>
      </c>
      <c r="B36" s="43">
        <v>3</v>
      </c>
      <c r="C36" s="43">
        <v>1</v>
      </c>
      <c r="D36" s="43">
        <v>0</v>
      </c>
      <c r="E36" s="43">
        <v>3</v>
      </c>
      <c r="F36" s="43">
        <v>0</v>
      </c>
      <c r="G36" s="43">
        <v>0</v>
      </c>
      <c r="H36" s="43">
        <v>2</v>
      </c>
      <c r="I36" s="43">
        <v>2</v>
      </c>
      <c r="J36" s="43">
        <v>0</v>
      </c>
      <c r="K36" s="43">
        <v>1</v>
      </c>
      <c r="L36" s="43">
        <v>1</v>
      </c>
      <c r="M36" s="43">
        <v>0</v>
      </c>
      <c r="N36" s="43">
        <v>2</v>
      </c>
      <c r="O36" s="43">
        <v>3</v>
      </c>
      <c r="P36" s="43">
        <v>0</v>
      </c>
      <c r="Q36" s="43">
        <v>2</v>
      </c>
      <c r="R36" s="43">
        <v>1</v>
      </c>
      <c r="S36" s="43">
        <v>0</v>
      </c>
      <c r="T36" s="43">
        <v>3</v>
      </c>
      <c r="U36" s="43">
        <v>2</v>
      </c>
      <c r="V36" s="43">
        <v>0</v>
      </c>
      <c r="W36" s="43">
        <v>2</v>
      </c>
      <c r="X36" s="43">
        <v>2</v>
      </c>
      <c r="Y36" s="43">
        <v>0</v>
      </c>
      <c r="Z36" s="43">
        <v>1</v>
      </c>
      <c r="AA36" s="43">
        <v>2</v>
      </c>
      <c r="AB36" s="43">
        <v>1</v>
      </c>
      <c r="AC36" s="43">
        <v>3</v>
      </c>
      <c r="AD36" s="43">
        <v>0</v>
      </c>
      <c r="AE36" s="43">
        <v>0</v>
      </c>
      <c r="AF36" s="43">
        <v>2</v>
      </c>
      <c r="AG36" s="43">
        <v>2</v>
      </c>
      <c r="AH36" s="43">
        <v>0</v>
      </c>
      <c r="AI36" s="43">
        <v>2</v>
      </c>
      <c r="AJ36" s="43">
        <v>1</v>
      </c>
      <c r="AK36" s="43">
        <v>0</v>
      </c>
      <c r="AL36" s="43">
        <v>2</v>
      </c>
      <c r="AM36" s="43">
        <v>1</v>
      </c>
      <c r="AN36" s="43">
        <v>0</v>
      </c>
      <c r="AO36" s="43">
        <v>2</v>
      </c>
      <c r="AP36" s="43">
        <v>0</v>
      </c>
      <c r="AQ36" s="43">
        <v>0</v>
      </c>
      <c r="AR36" s="43">
        <v>4</v>
      </c>
      <c r="AS36" s="43">
        <v>1</v>
      </c>
      <c r="AT36" s="43">
        <v>0</v>
      </c>
      <c r="AU36" s="43">
        <v>2</v>
      </c>
      <c r="AV36" s="43">
        <v>2</v>
      </c>
      <c r="AW36" s="43">
        <v>1</v>
      </c>
      <c r="AX36" s="43">
        <v>2</v>
      </c>
      <c r="AY36" s="43">
        <v>1</v>
      </c>
      <c r="AZ36" s="43">
        <v>0</v>
      </c>
      <c r="BA36" s="43">
        <v>2</v>
      </c>
      <c r="BB36" s="43">
        <v>1</v>
      </c>
      <c r="BC36" s="43">
        <v>1</v>
      </c>
      <c r="BD36" s="43">
        <v>2</v>
      </c>
      <c r="BE36" s="43">
        <v>0</v>
      </c>
      <c r="BF36" s="43">
        <v>4</v>
      </c>
      <c r="BG36" s="43">
        <v>3</v>
      </c>
      <c r="BH36" s="43">
        <v>1</v>
      </c>
      <c r="BI36" s="43">
        <v>1</v>
      </c>
      <c r="BJ36" s="43">
        <v>4</v>
      </c>
      <c r="BK36" s="43">
        <v>0</v>
      </c>
      <c r="BL36" s="43">
        <v>0</v>
      </c>
      <c r="BM36" s="43">
        <v>4</v>
      </c>
      <c r="BN36" s="43">
        <v>0</v>
      </c>
      <c r="BO36" s="43">
        <v>0</v>
      </c>
      <c r="BP36" s="43">
        <v>1</v>
      </c>
      <c r="BQ36" s="43">
        <v>1</v>
      </c>
      <c r="BR36" s="43">
        <v>1</v>
      </c>
      <c r="BS36" s="43">
        <v>3</v>
      </c>
      <c r="BT36" s="43">
        <v>0</v>
      </c>
      <c r="BU36" s="43">
        <v>0</v>
      </c>
      <c r="BV36" s="43">
        <v>4</v>
      </c>
      <c r="BW36" s="43">
        <v>0</v>
      </c>
      <c r="BX36" s="43">
        <v>0</v>
      </c>
      <c r="BY36" s="43">
        <v>3</v>
      </c>
      <c r="BZ36" s="43">
        <v>1</v>
      </c>
      <c r="CA36" s="43">
        <v>0</v>
      </c>
      <c r="CB36" s="43">
        <v>2</v>
      </c>
      <c r="CC36" s="43">
        <v>1</v>
      </c>
      <c r="CD36" s="43">
        <v>0</v>
      </c>
      <c r="CE36" s="43">
        <v>2</v>
      </c>
      <c r="CF36" s="43">
        <v>1</v>
      </c>
      <c r="CG36" s="43">
        <v>1</v>
      </c>
      <c r="CH36" s="43">
        <v>2</v>
      </c>
      <c r="CI36" s="43">
        <v>1</v>
      </c>
      <c r="CJ36" s="43">
        <v>1</v>
      </c>
      <c r="CK36" s="43">
        <v>1</v>
      </c>
      <c r="CL36" s="43">
        <v>3</v>
      </c>
      <c r="CM36" s="43">
        <v>1</v>
      </c>
      <c r="CN36" s="43">
        <v>1</v>
      </c>
      <c r="CO36" s="43">
        <v>0</v>
      </c>
      <c r="CP36" s="43">
        <v>1</v>
      </c>
      <c r="CQ36" s="43">
        <v>2</v>
      </c>
      <c r="CR36" s="43">
        <v>1</v>
      </c>
      <c r="CS36" s="43">
        <v>2</v>
      </c>
      <c r="CT36" s="43">
        <v>3</v>
      </c>
      <c r="CU36" s="43">
        <v>1</v>
      </c>
      <c r="CV36" s="43">
        <v>1</v>
      </c>
      <c r="CW36" s="43">
        <v>1</v>
      </c>
      <c r="CX36" s="43">
        <v>1</v>
      </c>
      <c r="CY36" s="43">
        <v>1</v>
      </c>
      <c r="CZ36" s="43">
        <v>3</v>
      </c>
      <c r="DA36" s="43">
        <v>1</v>
      </c>
      <c r="DB36" s="43">
        <v>1</v>
      </c>
      <c r="DC36" s="43">
        <v>2</v>
      </c>
      <c r="DD36" s="43">
        <v>1</v>
      </c>
      <c r="DE36" s="43">
        <v>0</v>
      </c>
      <c r="DF36" s="43">
        <v>3</v>
      </c>
      <c r="DG36" s="43">
        <v>1</v>
      </c>
      <c r="DH36" s="43">
        <v>0</v>
      </c>
      <c r="DI36" s="43">
        <v>4</v>
      </c>
      <c r="DJ36" s="43">
        <v>2</v>
      </c>
      <c r="DK36" s="43">
        <v>0</v>
      </c>
      <c r="DL36" s="43">
        <v>3</v>
      </c>
      <c r="DM36" s="43">
        <v>1</v>
      </c>
      <c r="DN36" s="43">
        <v>0</v>
      </c>
      <c r="DO36" s="43">
        <v>3</v>
      </c>
      <c r="DP36" s="43">
        <v>1</v>
      </c>
      <c r="DQ36" s="43">
        <v>0</v>
      </c>
      <c r="DR36" s="43">
        <v>2</v>
      </c>
      <c r="DS36" s="43">
        <v>0</v>
      </c>
      <c r="DT36" s="43">
        <v>2</v>
      </c>
      <c r="DU36" s="43">
        <v>4</v>
      </c>
      <c r="DV36" s="43">
        <v>0</v>
      </c>
      <c r="DW36" s="43">
        <v>2</v>
      </c>
      <c r="DX36" s="43">
        <v>1</v>
      </c>
      <c r="DY36" s="43">
        <v>1</v>
      </c>
      <c r="DZ36" s="43">
        <v>0</v>
      </c>
      <c r="EA36" s="43">
        <v>2</v>
      </c>
      <c r="EB36" s="43">
        <v>1</v>
      </c>
      <c r="EC36" s="43">
        <v>2</v>
      </c>
      <c r="ED36" s="43">
        <v>3</v>
      </c>
      <c r="EE36" s="43">
        <v>0</v>
      </c>
      <c r="EF36" s="43">
        <v>0</v>
      </c>
      <c r="EG36" s="43">
        <v>3</v>
      </c>
      <c r="EH36" s="43">
        <v>0</v>
      </c>
      <c r="EI36" s="43">
        <v>1</v>
      </c>
      <c r="EJ36" s="43">
        <v>3</v>
      </c>
      <c r="EK36" s="43">
        <v>1</v>
      </c>
      <c r="EL36" s="43">
        <v>1</v>
      </c>
      <c r="EM36" s="43">
        <v>3</v>
      </c>
      <c r="EN36" s="43">
        <v>0</v>
      </c>
      <c r="EO36" s="43">
        <v>1</v>
      </c>
      <c r="EP36" s="43">
        <v>4</v>
      </c>
      <c r="EQ36" s="43">
        <v>1</v>
      </c>
      <c r="ER36" s="43">
        <v>2</v>
      </c>
      <c r="ES36" s="43">
        <v>1</v>
      </c>
      <c r="ET36" s="43">
        <v>1</v>
      </c>
      <c r="EU36" s="43">
        <v>0</v>
      </c>
      <c r="EV36" s="43">
        <v>4</v>
      </c>
      <c r="EW36" s="43">
        <v>0</v>
      </c>
      <c r="EX36" s="43">
        <v>2</v>
      </c>
      <c r="EY36" s="43">
        <v>3</v>
      </c>
      <c r="EZ36" s="43">
        <v>0</v>
      </c>
      <c r="FA36" s="43">
        <v>0</v>
      </c>
      <c r="FB36" s="43">
        <v>2</v>
      </c>
      <c r="FC36" s="43">
        <v>2</v>
      </c>
      <c r="FD36" s="43">
        <v>0</v>
      </c>
      <c r="FE36" s="43">
        <v>2</v>
      </c>
      <c r="FF36" s="43">
        <v>0</v>
      </c>
      <c r="FG36" s="43">
        <v>1</v>
      </c>
      <c r="FH36" s="43">
        <v>3</v>
      </c>
      <c r="FI36" s="43">
        <v>0</v>
      </c>
      <c r="FJ36" s="43">
        <v>0</v>
      </c>
      <c r="FK36" s="43">
        <v>0</v>
      </c>
      <c r="FL36" s="43">
        <v>2</v>
      </c>
      <c r="FM36" s="43">
        <v>2</v>
      </c>
      <c r="FN36" s="43">
        <v>2</v>
      </c>
      <c r="FO36" s="43">
        <v>1</v>
      </c>
      <c r="FP36" s="43">
        <v>3</v>
      </c>
      <c r="FQ36" s="43">
        <v>2</v>
      </c>
      <c r="FR36" s="43">
        <v>1</v>
      </c>
      <c r="FS36" s="43">
        <v>0</v>
      </c>
      <c r="FT36" s="43">
        <v>4</v>
      </c>
      <c r="FU36" s="43">
        <v>1</v>
      </c>
      <c r="FV36" s="43">
        <v>0</v>
      </c>
      <c r="FW36" s="43">
        <v>2</v>
      </c>
      <c r="FX36" s="43">
        <v>2</v>
      </c>
      <c r="FY36" s="43">
        <v>2</v>
      </c>
      <c r="FZ36" s="43">
        <v>4</v>
      </c>
      <c r="GA36" s="43">
        <v>1</v>
      </c>
      <c r="GB36" s="43">
        <v>1</v>
      </c>
      <c r="GC36" s="43">
        <v>3</v>
      </c>
      <c r="GD36" s="43">
        <v>1</v>
      </c>
      <c r="GE36" s="43">
        <v>0</v>
      </c>
      <c r="GF36" s="43">
        <v>2</v>
      </c>
      <c r="GG36" s="43">
        <v>0</v>
      </c>
      <c r="GH36" s="43">
        <v>1</v>
      </c>
      <c r="GI36" s="43">
        <v>3</v>
      </c>
      <c r="GJ36" s="43">
        <v>2</v>
      </c>
      <c r="GK36" s="43">
        <v>1</v>
      </c>
      <c r="GL36" s="43">
        <v>2</v>
      </c>
      <c r="GM36" s="43">
        <v>2</v>
      </c>
      <c r="GN36" s="43">
        <v>1</v>
      </c>
      <c r="GO36" s="43">
        <v>2</v>
      </c>
      <c r="GP36" s="43">
        <v>0</v>
      </c>
      <c r="GQ36" s="43">
        <v>0</v>
      </c>
      <c r="GR36" s="43">
        <v>4</v>
      </c>
      <c r="GS36" s="43">
        <v>1</v>
      </c>
      <c r="GT36" s="43">
        <v>0</v>
      </c>
      <c r="GU36" s="43">
        <v>1</v>
      </c>
      <c r="GV36" s="43">
        <v>2</v>
      </c>
      <c r="GW36" s="43">
        <v>0</v>
      </c>
      <c r="GX36" s="43">
        <v>2</v>
      </c>
      <c r="GY36" s="43">
        <v>3</v>
      </c>
      <c r="GZ36" s="43">
        <v>0</v>
      </c>
      <c r="HA36" s="43">
        <v>4</v>
      </c>
      <c r="HB36" s="43">
        <v>2</v>
      </c>
      <c r="HC36" s="43">
        <v>0</v>
      </c>
      <c r="HD36" s="43">
        <v>1</v>
      </c>
      <c r="HE36" s="43">
        <v>0</v>
      </c>
      <c r="HF36" s="43">
        <v>1</v>
      </c>
      <c r="HG36" s="43">
        <v>4</v>
      </c>
      <c r="HH36" s="43">
        <v>1</v>
      </c>
      <c r="HI36" s="43">
        <v>2</v>
      </c>
      <c r="HJ36" s="43">
        <v>4</v>
      </c>
      <c r="HK36" s="43">
        <v>0</v>
      </c>
      <c r="HL36" s="43">
        <v>0</v>
      </c>
      <c r="HM36" s="43">
        <v>2</v>
      </c>
      <c r="HN36" s="43">
        <v>0</v>
      </c>
      <c r="HO36" s="43">
        <v>2</v>
      </c>
      <c r="HP36" s="43">
        <v>3</v>
      </c>
      <c r="HQ36" s="43">
        <v>1</v>
      </c>
      <c r="HR36" s="43">
        <v>0</v>
      </c>
      <c r="HS36" s="43">
        <v>2</v>
      </c>
      <c r="HT36" s="43">
        <v>0</v>
      </c>
      <c r="HU36" s="43">
        <v>1</v>
      </c>
      <c r="HV36" s="43">
        <v>4</v>
      </c>
      <c r="HW36" s="43">
        <v>0</v>
      </c>
      <c r="HX36" s="43">
        <v>0</v>
      </c>
      <c r="HY36" s="43">
        <v>3</v>
      </c>
      <c r="HZ36" s="43">
        <v>1</v>
      </c>
      <c r="IA36" s="43">
        <v>0</v>
      </c>
      <c r="IB36" s="43">
        <v>3</v>
      </c>
      <c r="IC36" s="43">
        <v>2</v>
      </c>
      <c r="ID36" s="43">
        <v>1</v>
      </c>
      <c r="IE36" s="43">
        <v>2</v>
      </c>
      <c r="IF36" s="43">
        <v>2</v>
      </c>
      <c r="IG36" s="43">
        <v>0</v>
      </c>
      <c r="IH36" s="43">
        <v>4</v>
      </c>
      <c r="II36" s="43">
        <v>1</v>
      </c>
      <c r="IJ36" s="43">
        <v>0</v>
      </c>
      <c r="IK36" s="43">
        <v>2</v>
      </c>
      <c r="IL36" s="43">
        <v>1</v>
      </c>
      <c r="IM36" s="43">
        <v>3</v>
      </c>
      <c r="IN36" s="43">
        <v>3</v>
      </c>
      <c r="IO36" s="43">
        <v>2</v>
      </c>
      <c r="IP36" s="43">
        <v>2</v>
      </c>
      <c r="IQ36" s="43">
        <v>2</v>
      </c>
      <c r="IR36" s="43">
        <v>1</v>
      </c>
      <c r="IS36" s="43">
        <v>0</v>
      </c>
      <c r="IT36" s="43">
        <v>2</v>
      </c>
      <c r="IU36" s="43">
        <v>1</v>
      </c>
      <c r="IV36" s="43">
        <v>0</v>
      </c>
      <c r="IW36" s="43">
        <v>1</v>
      </c>
      <c r="IX36" s="43">
        <v>1</v>
      </c>
      <c r="IY36" s="43">
        <v>0</v>
      </c>
      <c r="IZ36" s="43">
        <v>2</v>
      </c>
      <c r="JA36" s="43">
        <v>0</v>
      </c>
      <c r="JB36" s="43">
        <v>0</v>
      </c>
      <c r="JC36" s="43">
        <v>4</v>
      </c>
      <c r="JD36" s="43">
        <v>1</v>
      </c>
      <c r="JE36" s="43">
        <v>0</v>
      </c>
      <c r="JF36" s="43">
        <v>1</v>
      </c>
      <c r="JG36" s="43">
        <v>3</v>
      </c>
      <c r="JH36" s="43">
        <v>0</v>
      </c>
      <c r="JI36" s="43">
        <v>2</v>
      </c>
      <c r="JJ36" s="43">
        <v>0</v>
      </c>
      <c r="JK36" s="43">
        <v>1</v>
      </c>
      <c r="JL36" s="43">
        <v>2</v>
      </c>
      <c r="JM36" s="43">
        <v>1</v>
      </c>
      <c r="JN36" s="43">
        <v>1</v>
      </c>
      <c r="JO36" s="43">
        <v>3</v>
      </c>
      <c r="JP36" s="43">
        <v>1</v>
      </c>
      <c r="JQ36" s="43">
        <v>1</v>
      </c>
      <c r="JR36" s="43">
        <v>4</v>
      </c>
      <c r="JS36" s="43">
        <v>1</v>
      </c>
      <c r="JT36" s="43">
        <v>1</v>
      </c>
      <c r="JU36" s="43">
        <v>4</v>
      </c>
      <c r="JV36" s="43">
        <v>0</v>
      </c>
      <c r="JW36" s="43">
        <v>0</v>
      </c>
      <c r="JX36" s="43">
        <v>3</v>
      </c>
      <c r="JY36" s="43">
        <v>2</v>
      </c>
      <c r="JZ36" s="43">
        <v>1</v>
      </c>
      <c r="KA36" s="43">
        <v>2</v>
      </c>
      <c r="KB36" s="43">
        <v>1</v>
      </c>
      <c r="KC36" s="43">
        <v>0</v>
      </c>
      <c r="KD36" s="43">
        <v>1</v>
      </c>
      <c r="KE36" s="43">
        <v>0</v>
      </c>
      <c r="KF36" s="43">
        <v>0</v>
      </c>
      <c r="KG36" s="43">
        <v>2</v>
      </c>
      <c r="KH36" s="43">
        <v>2</v>
      </c>
      <c r="KI36" s="43">
        <v>0</v>
      </c>
      <c r="KJ36" s="43">
        <v>4</v>
      </c>
      <c r="KK36" s="43">
        <v>1</v>
      </c>
      <c r="KL36" s="43">
        <v>0</v>
      </c>
      <c r="KM36" s="43">
        <v>3</v>
      </c>
      <c r="KN36" s="43">
        <v>0</v>
      </c>
      <c r="KO36" s="43">
        <v>0</v>
      </c>
    </row>
    <row r="37" spans="1:301" x14ac:dyDescent="0.4">
      <c r="A37" s="43">
        <v>33</v>
      </c>
      <c r="B37" s="43">
        <v>4</v>
      </c>
      <c r="C37" s="43">
        <v>1</v>
      </c>
      <c r="D37" s="43">
        <v>0</v>
      </c>
      <c r="E37" s="43">
        <v>3</v>
      </c>
      <c r="F37" s="43">
        <v>1</v>
      </c>
      <c r="G37" s="43">
        <v>1</v>
      </c>
      <c r="H37" s="43">
        <v>2</v>
      </c>
      <c r="I37" s="43">
        <v>3</v>
      </c>
      <c r="J37" s="43">
        <v>0</v>
      </c>
      <c r="K37" s="43">
        <v>4</v>
      </c>
      <c r="L37" s="43">
        <v>0</v>
      </c>
      <c r="M37" s="43">
        <v>1</v>
      </c>
      <c r="N37" s="43">
        <v>4</v>
      </c>
      <c r="O37" s="43">
        <v>1</v>
      </c>
      <c r="P37" s="43">
        <v>2</v>
      </c>
      <c r="Q37" s="43">
        <v>2</v>
      </c>
      <c r="R37" s="43">
        <v>1</v>
      </c>
      <c r="S37" s="43">
        <v>0</v>
      </c>
      <c r="T37" s="43">
        <v>3</v>
      </c>
      <c r="U37" s="43">
        <v>1</v>
      </c>
      <c r="V37" s="43">
        <v>0</v>
      </c>
      <c r="W37" s="43">
        <v>2</v>
      </c>
      <c r="X37" s="43">
        <v>1</v>
      </c>
      <c r="Y37" s="43">
        <v>0</v>
      </c>
      <c r="Z37" s="43">
        <v>3</v>
      </c>
      <c r="AA37" s="43">
        <v>0</v>
      </c>
      <c r="AB37" s="43">
        <v>3</v>
      </c>
      <c r="AC37" s="43">
        <v>0</v>
      </c>
      <c r="AD37" s="43">
        <v>0</v>
      </c>
      <c r="AE37" s="43">
        <v>1</v>
      </c>
      <c r="AF37" s="43">
        <v>3</v>
      </c>
      <c r="AG37" s="43">
        <v>1</v>
      </c>
      <c r="AH37" s="43">
        <v>0</v>
      </c>
      <c r="AI37" s="43">
        <v>2</v>
      </c>
      <c r="AJ37" s="43">
        <v>2</v>
      </c>
      <c r="AK37" s="43">
        <v>0</v>
      </c>
      <c r="AL37" s="43">
        <v>2</v>
      </c>
      <c r="AM37" s="43">
        <v>1</v>
      </c>
      <c r="AN37" s="43">
        <v>0</v>
      </c>
      <c r="AO37" s="43">
        <v>3</v>
      </c>
      <c r="AP37" s="43">
        <v>2</v>
      </c>
      <c r="AQ37" s="43">
        <v>1</v>
      </c>
      <c r="AR37" s="43">
        <v>3</v>
      </c>
      <c r="AS37" s="43">
        <v>3</v>
      </c>
      <c r="AT37" s="43">
        <v>0</v>
      </c>
      <c r="AU37" s="43">
        <v>2</v>
      </c>
      <c r="AV37" s="43">
        <v>2</v>
      </c>
      <c r="AW37" s="43">
        <v>2</v>
      </c>
      <c r="AX37" s="43">
        <v>1</v>
      </c>
      <c r="AY37" s="43">
        <v>0</v>
      </c>
      <c r="AZ37" s="43">
        <v>1</v>
      </c>
      <c r="BA37" s="43">
        <v>3</v>
      </c>
      <c r="BB37" s="43">
        <v>0</v>
      </c>
      <c r="BC37" s="43">
        <v>0</v>
      </c>
      <c r="BD37" s="43">
        <v>2</v>
      </c>
      <c r="BE37" s="43">
        <v>1</v>
      </c>
      <c r="BF37" s="43">
        <v>1</v>
      </c>
      <c r="BG37" s="43">
        <v>2</v>
      </c>
      <c r="BH37" s="43">
        <v>1</v>
      </c>
      <c r="BI37" s="43">
        <v>0</v>
      </c>
      <c r="BJ37" s="43">
        <v>3</v>
      </c>
      <c r="BK37" s="43">
        <v>1</v>
      </c>
      <c r="BL37" s="43">
        <v>0</v>
      </c>
      <c r="BM37" s="43">
        <v>2</v>
      </c>
      <c r="BN37" s="43">
        <v>0</v>
      </c>
      <c r="BO37" s="43">
        <v>1</v>
      </c>
      <c r="BP37" s="43">
        <v>3</v>
      </c>
      <c r="BQ37" s="43">
        <v>2</v>
      </c>
      <c r="BR37" s="43">
        <v>0</v>
      </c>
      <c r="BS37" s="43">
        <v>1</v>
      </c>
      <c r="BT37" s="43">
        <v>0</v>
      </c>
      <c r="BU37" s="43">
        <v>2</v>
      </c>
      <c r="BV37" s="43">
        <v>3</v>
      </c>
      <c r="BW37" s="43">
        <v>2</v>
      </c>
      <c r="BX37" s="43">
        <v>0</v>
      </c>
      <c r="BY37" s="43">
        <v>2</v>
      </c>
      <c r="BZ37" s="43">
        <v>2</v>
      </c>
      <c r="CA37" s="43">
        <v>2</v>
      </c>
      <c r="CB37" s="43">
        <v>2</v>
      </c>
      <c r="CC37" s="43">
        <v>0</v>
      </c>
      <c r="CD37" s="43">
        <v>0</v>
      </c>
      <c r="CE37" s="43">
        <v>1</v>
      </c>
      <c r="CF37" s="43">
        <v>1</v>
      </c>
      <c r="CG37" s="43">
        <v>1</v>
      </c>
      <c r="CH37" s="43">
        <v>2</v>
      </c>
      <c r="CI37" s="43">
        <v>0</v>
      </c>
      <c r="CJ37" s="43">
        <v>2</v>
      </c>
      <c r="CK37" s="43">
        <v>4</v>
      </c>
      <c r="CL37" s="43">
        <v>0</v>
      </c>
      <c r="CM37" s="43">
        <v>0</v>
      </c>
      <c r="CN37" s="43">
        <v>3</v>
      </c>
      <c r="CO37" s="43">
        <v>1</v>
      </c>
      <c r="CP37" s="43">
        <v>1</v>
      </c>
      <c r="CQ37" s="43">
        <v>2</v>
      </c>
      <c r="CR37" s="43">
        <v>0</v>
      </c>
      <c r="CS37" s="43">
        <v>1</v>
      </c>
      <c r="CT37" s="43">
        <v>3</v>
      </c>
      <c r="CU37" s="43">
        <v>1</v>
      </c>
      <c r="CV37" s="43">
        <v>0</v>
      </c>
      <c r="CW37" s="43">
        <v>3</v>
      </c>
      <c r="CX37" s="43">
        <v>0</v>
      </c>
      <c r="CY37" s="43">
        <v>1</v>
      </c>
      <c r="CZ37" s="43">
        <v>2</v>
      </c>
      <c r="DA37" s="43">
        <v>1</v>
      </c>
      <c r="DB37" s="43">
        <v>0</v>
      </c>
      <c r="DC37" s="43">
        <v>3</v>
      </c>
      <c r="DD37" s="43">
        <v>3</v>
      </c>
      <c r="DE37" s="43">
        <v>0</v>
      </c>
      <c r="DF37" s="43">
        <v>2</v>
      </c>
      <c r="DG37" s="43">
        <v>1</v>
      </c>
      <c r="DH37" s="43">
        <v>0</v>
      </c>
      <c r="DI37" s="43">
        <v>3</v>
      </c>
      <c r="DJ37" s="43">
        <v>1</v>
      </c>
      <c r="DK37" s="43">
        <v>2</v>
      </c>
      <c r="DL37" s="43">
        <v>0</v>
      </c>
      <c r="DM37" s="43">
        <v>1</v>
      </c>
      <c r="DN37" s="43">
        <v>0</v>
      </c>
      <c r="DO37" s="43">
        <v>4</v>
      </c>
      <c r="DP37" s="43">
        <v>0</v>
      </c>
      <c r="DQ37" s="43">
        <v>0</v>
      </c>
      <c r="DR37" s="43">
        <v>3</v>
      </c>
      <c r="DS37" s="43">
        <v>1</v>
      </c>
      <c r="DT37" s="43">
        <v>0</v>
      </c>
      <c r="DU37" s="43">
        <v>3</v>
      </c>
      <c r="DV37" s="43">
        <v>0</v>
      </c>
      <c r="DW37" s="43">
        <v>0</v>
      </c>
      <c r="DX37" s="43">
        <v>3</v>
      </c>
      <c r="DY37" s="43">
        <v>1</v>
      </c>
      <c r="DZ37" s="43">
        <v>2</v>
      </c>
      <c r="EA37" s="43">
        <v>4</v>
      </c>
      <c r="EB37" s="43">
        <v>2</v>
      </c>
      <c r="EC37" s="43">
        <v>0</v>
      </c>
      <c r="ED37" s="43">
        <v>3</v>
      </c>
      <c r="EE37" s="43">
        <v>1</v>
      </c>
      <c r="EF37" s="43">
        <v>2</v>
      </c>
      <c r="EG37" s="43">
        <v>3</v>
      </c>
      <c r="EH37" s="43">
        <v>1</v>
      </c>
      <c r="EI37" s="43">
        <v>1</v>
      </c>
      <c r="EJ37" s="43">
        <v>2</v>
      </c>
      <c r="EK37" s="43">
        <v>1</v>
      </c>
      <c r="EL37" s="43">
        <v>0</v>
      </c>
      <c r="EM37" s="43">
        <v>2</v>
      </c>
      <c r="EN37" s="43">
        <v>0</v>
      </c>
      <c r="EO37" s="43">
        <v>0</v>
      </c>
      <c r="EP37" s="43">
        <v>1</v>
      </c>
      <c r="EQ37" s="43">
        <v>3</v>
      </c>
      <c r="ER37" s="43">
        <v>1</v>
      </c>
      <c r="ES37" s="43">
        <v>0</v>
      </c>
      <c r="ET37" s="43">
        <v>2</v>
      </c>
      <c r="EU37" s="43">
        <v>0</v>
      </c>
      <c r="EV37" s="43">
        <v>4</v>
      </c>
      <c r="EW37" s="43">
        <v>1</v>
      </c>
      <c r="EX37" s="43">
        <v>1</v>
      </c>
      <c r="EY37" s="43">
        <v>3</v>
      </c>
      <c r="EZ37" s="43">
        <v>3</v>
      </c>
      <c r="FA37" s="43">
        <v>1</v>
      </c>
      <c r="FB37" s="43">
        <v>2</v>
      </c>
      <c r="FC37" s="43">
        <v>0</v>
      </c>
      <c r="FD37" s="43">
        <v>0</v>
      </c>
      <c r="FE37" s="43">
        <v>2</v>
      </c>
      <c r="FF37" s="43">
        <v>3</v>
      </c>
      <c r="FG37" s="43">
        <v>1</v>
      </c>
      <c r="FH37" s="43">
        <v>2</v>
      </c>
      <c r="FI37" s="43">
        <v>1</v>
      </c>
      <c r="FJ37" s="43">
        <v>1</v>
      </c>
      <c r="FK37" s="43">
        <v>3</v>
      </c>
      <c r="FL37" s="43">
        <v>0</v>
      </c>
      <c r="FM37" s="43">
        <v>1</v>
      </c>
      <c r="FN37" s="43">
        <v>1</v>
      </c>
      <c r="FO37" s="43">
        <v>2</v>
      </c>
      <c r="FP37" s="43">
        <v>1</v>
      </c>
      <c r="FQ37" s="43">
        <v>2</v>
      </c>
      <c r="FR37" s="43">
        <v>3</v>
      </c>
      <c r="FS37" s="43">
        <v>1</v>
      </c>
      <c r="FT37" s="43">
        <v>4</v>
      </c>
      <c r="FU37" s="43">
        <v>2</v>
      </c>
      <c r="FV37" s="43">
        <v>0</v>
      </c>
      <c r="FW37" s="43">
        <v>2</v>
      </c>
      <c r="FX37" s="43">
        <v>0</v>
      </c>
      <c r="FY37" s="43">
        <v>0</v>
      </c>
      <c r="FZ37" s="43">
        <v>2</v>
      </c>
      <c r="GA37" s="43">
        <v>1</v>
      </c>
      <c r="GB37" s="43">
        <v>0</v>
      </c>
      <c r="GC37" s="43">
        <v>3</v>
      </c>
      <c r="GD37" s="43">
        <v>2</v>
      </c>
      <c r="GE37" s="43">
        <v>0</v>
      </c>
      <c r="GF37" s="43">
        <v>3</v>
      </c>
      <c r="GG37" s="43">
        <v>0</v>
      </c>
      <c r="GH37" s="43">
        <v>1</v>
      </c>
      <c r="GI37" s="43">
        <v>2</v>
      </c>
      <c r="GJ37" s="43">
        <v>1</v>
      </c>
      <c r="GK37" s="43">
        <v>1</v>
      </c>
      <c r="GL37" s="43">
        <v>3</v>
      </c>
      <c r="GM37" s="43">
        <v>0</v>
      </c>
      <c r="GN37" s="43">
        <v>0</v>
      </c>
      <c r="GO37" s="43">
        <v>3</v>
      </c>
      <c r="GP37" s="43">
        <v>1</v>
      </c>
      <c r="GQ37" s="43">
        <v>0</v>
      </c>
      <c r="GR37" s="43">
        <v>3</v>
      </c>
      <c r="GS37" s="43">
        <v>0</v>
      </c>
      <c r="GT37" s="43">
        <v>2</v>
      </c>
      <c r="GU37" s="43">
        <v>2</v>
      </c>
      <c r="GV37" s="43">
        <v>0</v>
      </c>
      <c r="GW37" s="43">
        <v>1</v>
      </c>
      <c r="GX37" s="43">
        <v>4</v>
      </c>
      <c r="GY37" s="43">
        <v>1</v>
      </c>
      <c r="GZ37" s="43">
        <v>0</v>
      </c>
      <c r="HA37" s="43">
        <v>4</v>
      </c>
      <c r="HB37" s="43">
        <v>3</v>
      </c>
      <c r="HC37" s="43">
        <v>0</v>
      </c>
      <c r="HD37" s="43">
        <v>1</v>
      </c>
      <c r="HE37" s="43">
        <v>1</v>
      </c>
      <c r="HF37" s="43">
        <v>0</v>
      </c>
      <c r="HG37" s="43">
        <v>2</v>
      </c>
      <c r="HH37" s="43">
        <v>1</v>
      </c>
      <c r="HI37" s="43">
        <v>1</v>
      </c>
      <c r="HJ37" s="43">
        <v>0</v>
      </c>
      <c r="HK37" s="43">
        <v>1</v>
      </c>
      <c r="HL37" s="43">
        <v>1</v>
      </c>
      <c r="HM37" s="43">
        <v>2</v>
      </c>
      <c r="HN37" s="43">
        <v>0</v>
      </c>
      <c r="HO37" s="43">
        <v>0</v>
      </c>
      <c r="HP37" s="43">
        <v>2</v>
      </c>
      <c r="HQ37" s="43">
        <v>0</v>
      </c>
      <c r="HR37" s="43">
        <v>2</v>
      </c>
      <c r="HS37" s="43">
        <v>3</v>
      </c>
      <c r="HT37" s="43">
        <v>1</v>
      </c>
      <c r="HU37" s="43">
        <v>0</v>
      </c>
      <c r="HV37" s="43">
        <v>0</v>
      </c>
      <c r="HW37" s="43">
        <v>1</v>
      </c>
      <c r="HX37" s="43">
        <v>0</v>
      </c>
      <c r="HY37" s="43">
        <v>2</v>
      </c>
      <c r="HZ37" s="43">
        <v>1</v>
      </c>
      <c r="IA37" s="43">
        <v>1</v>
      </c>
      <c r="IB37" s="43">
        <v>3</v>
      </c>
      <c r="IC37" s="43">
        <v>0</v>
      </c>
      <c r="ID37" s="43">
        <v>0</v>
      </c>
      <c r="IE37" s="43">
        <v>2</v>
      </c>
      <c r="IF37" s="43">
        <v>0</v>
      </c>
      <c r="IG37" s="43">
        <v>1</v>
      </c>
      <c r="IH37" s="43">
        <v>3</v>
      </c>
      <c r="II37" s="43">
        <v>0</v>
      </c>
      <c r="IJ37" s="43">
        <v>0</v>
      </c>
      <c r="IK37" s="43">
        <v>2</v>
      </c>
      <c r="IL37" s="43">
        <v>2</v>
      </c>
      <c r="IM37" s="43">
        <v>0</v>
      </c>
      <c r="IN37" s="43">
        <v>3</v>
      </c>
      <c r="IO37" s="43">
        <v>1</v>
      </c>
      <c r="IP37" s="43">
        <v>1</v>
      </c>
      <c r="IQ37" s="43">
        <v>4</v>
      </c>
      <c r="IR37" s="43">
        <v>0</v>
      </c>
      <c r="IS37" s="43">
        <v>1</v>
      </c>
      <c r="IT37" s="43">
        <v>0</v>
      </c>
      <c r="IU37" s="43">
        <v>0</v>
      </c>
      <c r="IV37" s="43">
        <v>2</v>
      </c>
      <c r="IW37" s="43">
        <v>3</v>
      </c>
      <c r="IX37" s="43">
        <v>0</v>
      </c>
      <c r="IY37" s="43">
        <v>0</v>
      </c>
      <c r="IZ37" s="43">
        <v>2</v>
      </c>
      <c r="JA37" s="43">
        <v>1</v>
      </c>
      <c r="JB37" s="43">
        <v>0</v>
      </c>
      <c r="JC37" s="43">
        <v>2</v>
      </c>
      <c r="JD37" s="43">
        <v>1</v>
      </c>
      <c r="JE37" s="43">
        <v>2</v>
      </c>
      <c r="JF37" s="43">
        <v>4</v>
      </c>
      <c r="JG37" s="43">
        <v>0</v>
      </c>
      <c r="JH37" s="43">
        <v>1</v>
      </c>
      <c r="JI37" s="43">
        <v>4</v>
      </c>
      <c r="JJ37" s="43">
        <v>2</v>
      </c>
      <c r="JK37" s="43">
        <v>2</v>
      </c>
      <c r="JL37" s="43">
        <v>2</v>
      </c>
      <c r="JM37" s="43">
        <v>1</v>
      </c>
      <c r="JN37" s="43">
        <v>1</v>
      </c>
      <c r="JO37" s="43">
        <v>2</v>
      </c>
      <c r="JP37" s="43">
        <v>1</v>
      </c>
      <c r="JQ37" s="43">
        <v>2</v>
      </c>
      <c r="JR37" s="43">
        <v>3</v>
      </c>
      <c r="JS37" s="43">
        <v>0</v>
      </c>
      <c r="JT37" s="43">
        <v>2</v>
      </c>
      <c r="JU37" s="43">
        <v>3</v>
      </c>
      <c r="JV37" s="43">
        <v>0</v>
      </c>
      <c r="JW37" s="43">
        <v>1</v>
      </c>
      <c r="JX37" s="43">
        <v>4</v>
      </c>
      <c r="JY37" s="43">
        <v>2</v>
      </c>
      <c r="JZ37" s="43">
        <v>1</v>
      </c>
      <c r="KA37" s="43">
        <v>4</v>
      </c>
      <c r="KB37" s="43">
        <v>0</v>
      </c>
      <c r="KC37" s="43">
        <v>0</v>
      </c>
      <c r="KD37" s="43">
        <v>4</v>
      </c>
      <c r="KE37" s="43">
        <v>3</v>
      </c>
      <c r="KF37" s="43">
        <v>0</v>
      </c>
      <c r="KG37" s="43">
        <v>4</v>
      </c>
      <c r="KH37" s="43">
        <v>0</v>
      </c>
      <c r="KI37" s="43">
        <v>1</v>
      </c>
      <c r="KJ37" s="43">
        <v>3</v>
      </c>
      <c r="KK37" s="43">
        <v>0</v>
      </c>
      <c r="KL37" s="43">
        <v>0</v>
      </c>
      <c r="KM37" s="43">
        <v>2</v>
      </c>
      <c r="KN37" s="43">
        <v>1</v>
      </c>
      <c r="KO37" s="43">
        <v>0</v>
      </c>
    </row>
    <row r="38" spans="1:301" x14ac:dyDescent="0.4">
      <c r="A38" s="43">
        <v>34</v>
      </c>
      <c r="B38" s="43">
        <v>2</v>
      </c>
      <c r="C38" s="43">
        <v>2</v>
      </c>
      <c r="D38" s="43">
        <v>1</v>
      </c>
      <c r="E38" s="43">
        <v>4</v>
      </c>
      <c r="F38" s="43">
        <v>3</v>
      </c>
      <c r="G38" s="43">
        <v>0</v>
      </c>
      <c r="H38" s="43">
        <v>2</v>
      </c>
      <c r="I38" s="43">
        <v>1</v>
      </c>
      <c r="J38" s="43">
        <v>0</v>
      </c>
      <c r="K38" s="43">
        <v>2</v>
      </c>
      <c r="L38" s="43">
        <v>0</v>
      </c>
      <c r="M38" s="43">
        <v>1</v>
      </c>
      <c r="N38" s="43">
        <v>1</v>
      </c>
      <c r="O38" s="43">
        <v>1</v>
      </c>
      <c r="P38" s="43">
        <v>0</v>
      </c>
      <c r="Q38" s="43">
        <v>3</v>
      </c>
      <c r="R38" s="43">
        <v>0</v>
      </c>
      <c r="S38" s="43">
        <v>0</v>
      </c>
      <c r="T38" s="43">
        <v>2</v>
      </c>
      <c r="U38" s="43">
        <v>0</v>
      </c>
      <c r="V38" s="43">
        <v>1</v>
      </c>
      <c r="W38" s="43">
        <v>4</v>
      </c>
      <c r="X38" s="43">
        <v>2</v>
      </c>
      <c r="Y38" s="43">
        <v>2</v>
      </c>
      <c r="Z38" s="43">
        <v>2</v>
      </c>
      <c r="AA38" s="43">
        <v>0</v>
      </c>
      <c r="AB38" s="43">
        <v>0</v>
      </c>
      <c r="AC38" s="43">
        <v>2</v>
      </c>
      <c r="AD38" s="43">
        <v>0</v>
      </c>
      <c r="AE38" s="43">
        <v>1</v>
      </c>
      <c r="AF38" s="43">
        <v>4</v>
      </c>
      <c r="AG38" s="43">
        <v>0</v>
      </c>
      <c r="AH38" s="43">
        <v>1</v>
      </c>
      <c r="AI38" s="43">
        <v>4</v>
      </c>
      <c r="AJ38" s="43">
        <v>2</v>
      </c>
      <c r="AK38" s="43">
        <v>0</v>
      </c>
      <c r="AL38" s="43">
        <v>2</v>
      </c>
      <c r="AM38" s="43">
        <v>0</v>
      </c>
      <c r="AN38" s="43">
        <v>1</v>
      </c>
      <c r="AO38" s="43">
        <v>4</v>
      </c>
      <c r="AP38" s="43">
        <v>1</v>
      </c>
      <c r="AQ38" s="43">
        <v>1</v>
      </c>
      <c r="AR38" s="43">
        <v>2</v>
      </c>
      <c r="AS38" s="43">
        <v>0</v>
      </c>
      <c r="AT38" s="43">
        <v>0</v>
      </c>
      <c r="AU38" s="43">
        <v>3</v>
      </c>
      <c r="AV38" s="43">
        <v>1</v>
      </c>
      <c r="AW38" s="43">
        <v>0</v>
      </c>
      <c r="AX38" s="43">
        <v>2</v>
      </c>
      <c r="AY38" s="43">
        <v>0</v>
      </c>
      <c r="AZ38" s="43">
        <v>0</v>
      </c>
      <c r="BA38" s="43">
        <v>2</v>
      </c>
      <c r="BB38" s="43">
        <v>0</v>
      </c>
      <c r="BC38" s="43">
        <v>1</v>
      </c>
      <c r="BD38" s="43">
        <v>0</v>
      </c>
      <c r="BE38" s="43">
        <v>2</v>
      </c>
      <c r="BF38" s="43">
        <v>1</v>
      </c>
      <c r="BG38" s="43">
        <v>2</v>
      </c>
      <c r="BH38" s="43">
        <v>0</v>
      </c>
      <c r="BI38" s="43">
        <v>1</v>
      </c>
      <c r="BJ38" s="43">
        <v>4</v>
      </c>
      <c r="BK38" s="43">
        <v>0</v>
      </c>
      <c r="BL38" s="43">
        <v>1</v>
      </c>
      <c r="BM38" s="43">
        <v>2</v>
      </c>
      <c r="BN38" s="43">
        <v>3</v>
      </c>
      <c r="BO38" s="43">
        <v>1</v>
      </c>
      <c r="BP38" s="43">
        <v>2</v>
      </c>
      <c r="BQ38" s="43">
        <v>2</v>
      </c>
      <c r="BR38" s="43">
        <v>2</v>
      </c>
      <c r="BS38" s="43">
        <v>2</v>
      </c>
      <c r="BT38" s="43">
        <v>1</v>
      </c>
      <c r="BU38" s="43">
        <v>0</v>
      </c>
      <c r="BV38" s="43">
        <v>1</v>
      </c>
      <c r="BW38" s="43">
        <v>0</v>
      </c>
      <c r="BX38" s="43">
        <v>1</v>
      </c>
      <c r="BY38" s="43">
        <v>2</v>
      </c>
      <c r="BZ38" s="43">
        <v>2</v>
      </c>
      <c r="CA38" s="43">
        <v>1</v>
      </c>
      <c r="CB38" s="43">
        <v>3</v>
      </c>
      <c r="CC38" s="43">
        <v>1</v>
      </c>
      <c r="CD38" s="43">
        <v>1</v>
      </c>
      <c r="CE38" s="43">
        <v>3</v>
      </c>
      <c r="CF38" s="43">
        <v>1</v>
      </c>
      <c r="CG38" s="43">
        <v>0</v>
      </c>
      <c r="CH38" s="43">
        <v>3</v>
      </c>
      <c r="CI38" s="43">
        <v>2</v>
      </c>
      <c r="CJ38" s="43">
        <v>0</v>
      </c>
      <c r="CK38" s="43">
        <v>2</v>
      </c>
      <c r="CL38" s="43">
        <v>1</v>
      </c>
      <c r="CM38" s="43">
        <v>3</v>
      </c>
      <c r="CN38" s="43">
        <v>4</v>
      </c>
      <c r="CO38" s="43">
        <v>0</v>
      </c>
      <c r="CP38" s="43">
        <v>1</v>
      </c>
      <c r="CQ38" s="43">
        <v>3</v>
      </c>
      <c r="CR38" s="43">
        <v>1</v>
      </c>
      <c r="CS38" s="43">
        <v>0</v>
      </c>
      <c r="CT38" s="43">
        <v>3</v>
      </c>
      <c r="CU38" s="43">
        <v>0</v>
      </c>
      <c r="CV38" s="43">
        <v>1</v>
      </c>
      <c r="CW38" s="43">
        <v>2</v>
      </c>
      <c r="CX38" s="43">
        <v>1</v>
      </c>
      <c r="CY38" s="43">
        <v>2</v>
      </c>
      <c r="CZ38" s="43">
        <v>2</v>
      </c>
      <c r="DA38" s="43">
        <v>1</v>
      </c>
      <c r="DB38" s="43">
        <v>1</v>
      </c>
      <c r="DC38" s="43">
        <v>3</v>
      </c>
      <c r="DD38" s="43">
        <v>2</v>
      </c>
      <c r="DE38" s="43">
        <v>2</v>
      </c>
      <c r="DF38" s="43">
        <v>2</v>
      </c>
      <c r="DG38" s="43">
        <v>1</v>
      </c>
      <c r="DH38" s="43">
        <v>0</v>
      </c>
      <c r="DI38" s="43">
        <v>1</v>
      </c>
      <c r="DJ38" s="43">
        <v>1</v>
      </c>
      <c r="DK38" s="43">
        <v>2</v>
      </c>
      <c r="DL38" s="43">
        <v>4</v>
      </c>
      <c r="DM38" s="43">
        <v>0</v>
      </c>
      <c r="DN38" s="43">
        <v>1</v>
      </c>
      <c r="DO38" s="43">
        <v>1</v>
      </c>
      <c r="DP38" s="43">
        <v>0</v>
      </c>
      <c r="DQ38" s="43">
        <v>0</v>
      </c>
      <c r="DR38" s="43">
        <v>2</v>
      </c>
      <c r="DS38" s="43">
        <v>2</v>
      </c>
      <c r="DT38" s="43">
        <v>2</v>
      </c>
      <c r="DU38" s="43">
        <v>0</v>
      </c>
      <c r="DV38" s="43">
        <v>1</v>
      </c>
      <c r="DW38" s="43">
        <v>0</v>
      </c>
      <c r="DX38" s="43">
        <v>4</v>
      </c>
      <c r="DY38" s="43">
        <v>0</v>
      </c>
      <c r="DZ38" s="43">
        <v>1</v>
      </c>
      <c r="EA38" s="43">
        <v>3</v>
      </c>
      <c r="EB38" s="43">
        <v>1</v>
      </c>
      <c r="EC38" s="43">
        <v>1</v>
      </c>
      <c r="ED38" s="43">
        <v>3</v>
      </c>
      <c r="EE38" s="43">
        <v>2</v>
      </c>
      <c r="EF38" s="43">
        <v>0</v>
      </c>
      <c r="EG38" s="43">
        <v>2</v>
      </c>
      <c r="EH38" s="43">
        <v>1</v>
      </c>
      <c r="EI38" s="43">
        <v>1</v>
      </c>
      <c r="EJ38" s="43">
        <v>2</v>
      </c>
      <c r="EK38" s="43">
        <v>1</v>
      </c>
      <c r="EL38" s="43">
        <v>0</v>
      </c>
      <c r="EM38" s="43">
        <v>2</v>
      </c>
      <c r="EN38" s="43">
        <v>2</v>
      </c>
      <c r="EO38" s="43">
        <v>0</v>
      </c>
      <c r="EP38" s="43">
        <v>2</v>
      </c>
      <c r="EQ38" s="43">
        <v>0</v>
      </c>
      <c r="ER38" s="43">
        <v>3</v>
      </c>
      <c r="ES38" s="43">
        <v>3</v>
      </c>
      <c r="ET38" s="43">
        <v>2</v>
      </c>
      <c r="EU38" s="43">
        <v>0</v>
      </c>
      <c r="EV38" s="43">
        <v>2</v>
      </c>
      <c r="EW38" s="43">
        <v>1</v>
      </c>
      <c r="EX38" s="43">
        <v>0</v>
      </c>
      <c r="EY38" s="43">
        <v>2</v>
      </c>
      <c r="EZ38" s="43">
        <v>1</v>
      </c>
      <c r="FA38" s="43">
        <v>2</v>
      </c>
      <c r="FB38" s="43">
        <v>1</v>
      </c>
      <c r="FC38" s="43">
        <v>2</v>
      </c>
      <c r="FD38" s="43">
        <v>1</v>
      </c>
      <c r="FE38" s="43">
        <v>3</v>
      </c>
      <c r="FF38" s="43">
        <v>3</v>
      </c>
      <c r="FG38" s="43">
        <v>0</v>
      </c>
      <c r="FH38" s="43">
        <v>2</v>
      </c>
      <c r="FI38" s="43">
        <v>1</v>
      </c>
      <c r="FJ38" s="43">
        <v>0</v>
      </c>
      <c r="FK38" s="43">
        <v>2</v>
      </c>
      <c r="FL38" s="43">
        <v>0</v>
      </c>
      <c r="FM38" s="43">
        <v>1</v>
      </c>
      <c r="FN38" s="43">
        <v>2</v>
      </c>
      <c r="FO38" s="43">
        <v>1</v>
      </c>
      <c r="FP38" s="43">
        <v>0</v>
      </c>
      <c r="FQ38" s="43">
        <v>2</v>
      </c>
      <c r="FR38" s="43">
        <v>1</v>
      </c>
      <c r="FS38" s="43">
        <v>0</v>
      </c>
      <c r="FT38" s="43">
        <v>3</v>
      </c>
      <c r="FU38" s="43">
        <v>2</v>
      </c>
      <c r="FV38" s="43">
        <v>1</v>
      </c>
      <c r="FW38" s="43">
        <v>4</v>
      </c>
      <c r="FX38" s="43">
        <v>1</v>
      </c>
      <c r="FY38" s="43">
        <v>1</v>
      </c>
      <c r="FZ38" s="43">
        <v>3</v>
      </c>
      <c r="GA38" s="43">
        <v>2</v>
      </c>
      <c r="GB38" s="43">
        <v>0</v>
      </c>
      <c r="GC38" s="43">
        <v>3</v>
      </c>
      <c r="GD38" s="43">
        <v>1</v>
      </c>
      <c r="GE38" s="43">
        <v>1</v>
      </c>
      <c r="GF38" s="43">
        <v>0</v>
      </c>
      <c r="GG38" s="43">
        <v>2</v>
      </c>
      <c r="GH38" s="43">
        <v>1</v>
      </c>
      <c r="GI38" s="43">
        <v>3</v>
      </c>
      <c r="GJ38" s="43">
        <v>0</v>
      </c>
      <c r="GK38" s="43">
        <v>1</v>
      </c>
      <c r="GL38" s="43">
        <v>4</v>
      </c>
      <c r="GM38" s="43">
        <v>1</v>
      </c>
      <c r="GN38" s="43">
        <v>1</v>
      </c>
      <c r="GO38" s="43">
        <v>1</v>
      </c>
      <c r="GP38" s="43">
        <v>2</v>
      </c>
      <c r="GQ38" s="43">
        <v>1</v>
      </c>
      <c r="GR38" s="43">
        <v>1</v>
      </c>
      <c r="GS38" s="43">
        <v>2</v>
      </c>
      <c r="GT38" s="43">
        <v>0</v>
      </c>
      <c r="GU38" s="43">
        <v>4</v>
      </c>
      <c r="GV38" s="43">
        <v>2</v>
      </c>
      <c r="GW38" s="43">
        <v>1</v>
      </c>
      <c r="GX38" s="43">
        <v>2</v>
      </c>
      <c r="GY38" s="43">
        <v>1</v>
      </c>
      <c r="GZ38" s="43">
        <v>0</v>
      </c>
      <c r="HA38" s="43">
        <v>2</v>
      </c>
      <c r="HB38" s="43">
        <v>2</v>
      </c>
      <c r="HC38" s="43">
        <v>0</v>
      </c>
      <c r="HD38" s="43">
        <v>3</v>
      </c>
      <c r="HE38" s="43">
        <v>0</v>
      </c>
      <c r="HF38" s="43">
        <v>1</v>
      </c>
      <c r="HG38" s="43">
        <v>4</v>
      </c>
      <c r="HH38" s="43">
        <v>0</v>
      </c>
      <c r="HI38" s="43">
        <v>0</v>
      </c>
      <c r="HJ38" s="43">
        <v>2</v>
      </c>
      <c r="HK38" s="43">
        <v>1</v>
      </c>
      <c r="HL38" s="43">
        <v>0</v>
      </c>
      <c r="HM38" s="43">
        <v>3</v>
      </c>
      <c r="HN38" s="43">
        <v>1</v>
      </c>
      <c r="HO38" s="43">
        <v>0</v>
      </c>
      <c r="HP38" s="43">
        <v>1</v>
      </c>
      <c r="HQ38" s="43">
        <v>2</v>
      </c>
      <c r="HR38" s="43">
        <v>1</v>
      </c>
      <c r="HS38" s="43">
        <v>1</v>
      </c>
      <c r="HT38" s="43">
        <v>1</v>
      </c>
      <c r="HU38" s="43">
        <v>0</v>
      </c>
      <c r="HV38" s="43">
        <v>4</v>
      </c>
      <c r="HW38" s="43">
        <v>0</v>
      </c>
      <c r="HX38" s="43">
        <v>0</v>
      </c>
      <c r="HY38" s="43">
        <v>2</v>
      </c>
      <c r="HZ38" s="43">
        <v>1</v>
      </c>
      <c r="IA38" s="43">
        <v>0</v>
      </c>
      <c r="IB38" s="43">
        <v>3</v>
      </c>
      <c r="IC38" s="43">
        <v>1</v>
      </c>
      <c r="ID38" s="43">
        <v>0</v>
      </c>
      <c r="IE38" s="43">
        <v>2</v>
      </c>
      <c r="IF38" s="43">
        <v>1</v>
      </c>
      <c r="IG38" s="43">
        <v>0</v>
      </c>
      <c r="IH38" s="43">
        <v>3</v>
      </c>
      <c r="II38" s="43">
        <v>2</v>
      </c>
      <c r="IJ38" s="43">
        <v>0</v>
      </c>
      <c r="IK38" s="43">
        <v>1</v>
      </c>
      <c r="IL38" s="43">
        <v>0</v>
      </c>
      <c r="IM38" s="43">
        <v>0</v>
      </c>
      <c r="IN38" s="43">
        <v>3</v>
      </c>
      <c r="IO38" s="43">
        <v>1</v>
      </c>
      <c r="IP38" s="43">
        <v>2</v>
      </c>
      <c r="IQ38" s="43">
        <v>2</v>
      </c>
      <c r="IR38" s="43">
        <v>1</v>
      </c>
      <c r="IS38" s="43">
        <v>3</v>
      </c>
      <c r="IT38" s="43">
        <v>2</v>
      </c>
      <c r="IU38" s="43">
        <v>0</v>
      </c>
      <c r="IV38" s="43">
        <v>1</v>
      </c>
      <c r="IW38" s="43">
        <v>4</v>
      </c>
      <c r="IX38" s="43">
        <v>0</v>
      </c>
      <c r="IY38" s="43">
        <v>1</v>
      </c>
      <c r="IZ38" s="43">
        <v>2</v>
      </c>
      <c r="JA38" s="43">
        <v>3</v>
      </c>
      <c r="JB38" s="43">
        <v>2</v>
      </c>
      <c r="JC38" s="43">
        <v>2</v>
      </c>
      <c r="JD38" s="43">
        <v>2</v>
      </c>
      <c r="JE38" s="43">
        <v>1</v>
      </c>
      <c r="JF38" s="43">
        <v>1</v>
      </c>
      <c r="JG38" s="43">
        <v>1</v>
      </c>
      <c r="JH38" s="43">
        <v>1</v>
      </c>
      <c r="JI38" s="43">
        <v>3</v>
      </c>
      <c r="JJ38" s="43">
        <v>2</v>
      </c>
      <c r="JK38" s="43">
        <v>1</v>
      </c>
      <c r="JL38" s="43">
        <v>4</v>
      </c>
      <c r="JM38" s="43">
        <v>1</v>
      </c>
      <c r="JN38" s="43">
        <v>0</v>
      </c>
      <c r="JO38" s="43">
        <v>2</v>
      </c>
      <c r="JP38" s="43">
        <v>1</v>
      </c>
      <c r="JQ38" s="43">
        <v>1</v>
      </c>
      <c r="JR38" s="43">
        <v>1</v>
      </c>
      <c r="JS38" s="43">
        <v>1</v>
      </c>
      <c r="JT38" s="43">
        <v>0</v>
      </c>
      <c r="JU38" s="43">
        <v>3</v>
      </c>
      <c r="JV38" s="43">
        <v>1</v>
      </c>
      <c r="JW38" s="43">
        <v>0</v>
      </c>
      <c r="JX38" s="43">
        <v>1</v>
      </c>
      <c r="JY38" s="43">
        <v>0</v>
      </c>
      <c r="JZ38" s="43">
        <v>1</v>
      </c>
      <c r="KA38" s="43">
        <v>3</v>
      </c>
      <c r="KB38" s="43">
        <v>0</v>
      </c>
      <c r="KC38" s="43">
        <v>0</v>
      </c>
      <c r="KD38" s="43">
        <v>2</v>
      </c>
      <c r="KE38" s="43">
        <v>2</v>
      </c>
      <c r="KF38" s="43">
        <v>1</v>
      </c>
      <c r="KG38" s="43">
        <v>2</v>
      </c>
      <c r="KH38" s="43">
        <v>3</v>
      </c>
      <c r="KI38" s="43">
        <v>1</v>
      </c>
      <c r="KJ38" s="43">
        <v>3</v>
      </c>
      <c r="KK38" s="43">
        <v>2</v>
      </c>
      <c r="KL38" s="43">
        <v>1</v>
      </c>
      <c r="KM38" s="43">
        <v>3</v>
      </c>
      <c r="KN38" s="43">
        <v>1</v>
      </c>
      <c r="KO38" s="43">
        <v>1</v>
      </c>
    </row>
    <row r="39" spans="1:301" x14ac:dyDescent="0.4">
      <c r="A39" s="43">
        <v>35</v>
      </c>
      <c r="B39" s="43">
        <v>3</v>
      </c>
      <c r="C39" s="43">
        <v>1</v>
      </c>
      <c r="D39" s="43">
        <v>1</v>
      </c>
      <c r="E39" s="43">
        <v>4</v>
      </c>
      <c r="F39" s="43">
        <v>1</v>
      </c>
      <c r="G39" s="43">
        <v>0</v>
      </c>
      <c r="H39" s="43">
        <v>3</v>
      </c>
      <c r="I39" s="43">
        <v>1</v>
      </c>
      <c r="J39" s="43">
        <v>1</v>
      </c>
      <c r="K39" s="43">
        <v>3</v>
      </c>
      <c r="L39" s="43">
        <v>2</v>
      </c>
      <c r="M39" s="43">
        <v>1</v>
      </c>
      <c r="N39" s="43">
        <v>3</v>
      </c>
      <c r="O39" s="43">
        <v>0</v>
      </c>
      <c r="P39" s="43">
        <v>0</v>
      </c>
      <c r="Q39" s="43">
        <v>4</v>
      </c>
      <c r="R39" s="43">
        <v>0</v>
      </c>
      <c r="S39" s="43">
        <v>1</v>
      </c>
      <c r="T39" s="43">
        <v>4</v>
      </c>
      <c r="U39" s="43">
        <v>1</v>
      </c>
      <c r="V39" s="43">
        <v>0</v>
      </c>
      <c r="W39" s="43">
        <v>4</v>
      </c>
      <c r="X39" s="43">
        <v>1</v>
      </c>
      <c r="Y39" s="43">
        <v>0</v>
      </c>
      <c r="Z39" s="43">
        <v>2</v>
      </c>
      <c r="AA39" s="43">
        <v>1</v>
      </c>
      <c r="AB39" s="43">
        <v>3</v>
      </c>
      <c r="AC39" s="43">
        <v>3</v>
      </c>
      <c r="AD39" s="43">
        <v>1</v>
      </c>
      <c r="AE39" s="43">
        <v>1</v>
      </c>
      <c r="AF39" s="43">
        <v>3</v>
      </c>
      <c r="AG39" s="43">
        <v>0</v>
      </c>
      <c r="AH39" s="43">
        <v>1</v>
      </c>
      <c r="AI39" s="43">
        <v>2</v>
      </c>
      <c r="AJ39" s="43">
        <v>2</v>
      </c>
      <c r="AK39" s="43">
        <v>3</v>
      </c>
      <c r="AL39" s="43">
        <v>1</v>
      </c>
      <c r="AM39" s="43">
        <v>1</v>
      </c>
      <c r="AN39" s="43">
        <v>1</v>
      </c>
      <c r="AO39" s="43">
        <v>3</v>
      </c>
      <c r="AP39" s="43">
        <v>0</v>
      </c>
      <c r="AQ39" s="43">
        <v>0</v>
      </c>
      <c r="AR39" s="43">
        <v>3</v>
      </c>
      <c r="AS39" s="43">
        <v>0</v>
      </c>
      <c r="AT39" s="43">
        <v>1</v>
      </c>
      <c r="AU39" s="43">
        <v>2</v>
      </c>
      <c r="AV39" s="43">
        <v>0</v>
      </c>
      <c r="AW39" s="43">
        <v>0</v>
      </c>
      <c r="AX39" s="43">
        <v>2</v>
      </c>
      <c r="AY39" s="43">
        <v>1</v>
      </c>
      <c r="AZ39" s="43">
        <v>2</v>
      </c>
      <c r="BA39" s="43">
        <v>3</v>
      </c>
      <c r="BB39" s="43">
        <v>1</v>
      </c>
      <c r="BC39" s="43">
        <v>1</v>
      </c>
      <c r="BD39" s="43">
        <v>3</v>
      </c>
      <c r="BE39" s="43">
        <v>1</v>
      </c>
      <c r="BF39" s="43">
        <v>1</v>
      </c>
      <c r="BG39" s="43">
        <v>2</v>
      </c>
      <c r="BH39" s="43">
        <v>1</v>
      </c>
      <c r="BI39" s="43">
        <v>0</v>
      </c>
      <c r="BJ39" s="43">
        <v>2</v>
      </c>
      <c r="BK39" s="43">
        <v>0</v>
      </c>
      <c r="BL39" s="43">
        <v>1</v>
      </c>
      <c r="BM39" s="43">
        <v>1</v>
      </c>
      <c r="BN39" s="43">
        <v>1</v>
      </c>
      <c r="BO39" s="43">
        <v>1</v>
      </c>
      <c r="BP39" s="43">
        <v>3</v>
      </c>
      <c r="BQ39" s="43">
        <v>1</v>
      </c>
      <c r="BR39" s="43">
        <v>1</v>
      </c>
      <c r="BS39" s="43">
        <v>2</v>
      </c>
      <c r="BT39" s="43">
        <v>1</v>
      </c>
      <c r="BU39" s="43">
        <v>1</v>
      </c>
      <c r="BV39" s="43">
        <v>2</v>
      </c>
      <c r="BW39" s="43">
        <v>1</v>
      </c>
      <c r="BX39" s="43">
        <v>0</v>
      </c>
      <c r="BY39" s="43">
        <v>2</v>
      </c>
      <c r="BZ39" s="43">
        <v>2</v>
      </c>
      <c r="CA39" s="43">
        <v>0</v>
      </c>
      <c r="CB39" s="43">
        <v>2</v>
      </c>
      <c r="CC39" s="43">
        <v>3</v>
      </c>
      <c r="CD39" s="43">
        <v>0</v>
      </c>
      <c r="CE39" s="43">
        <v>4</v>
      </c>
      <c r="CF39" s="43">
        <v>1</v>
      </c>
      <c r="CG39" s="43">
        <v>0</v>
      </c>
      <c r="CH39" s="43">
        <v>1</v>
      </c>
      <c r="CI39" s="43">
        <v>1</v>
      </c>
      <c r="CJ39" s="43">
        <v>1</v>
      </c>
      <c r="CK39" s="43">
        <v>0</v>
      </c>
      <c r="CL39" s="43">
        <v>2</v>
      </c>
      <c r="CM39" s="43">
        <v>1</v>
      </c>
      <c r="CN39" s="43">
        <v>3</v>
      </c>
      <c r="CO39" s="43">
        <v>0</v>
      </c>
      <c r="CP39" s="43">
        <v>1</v>
      </c>
      <c r="CQ39" s="43">
        <v>2</v>
      </c>
      <c r="CR39" s="43">
        <v>1</v>
      </c>
      <c r="CS39" s="43">
        <v>0</v>
      </c>
      <c r="CT39" s="43">
        <v>2</v>
      </c>
      <c r="CU39" s="43">
        <v>1</v>
      </c>
      <c r="CV39" s="43">
        <v>1</v>
      </c>
      <c r="CW39" s="43">
        <v>3</v>
      </c>
      <c r="CX39" s="43">
        <v>0</v>
      </c>
      <c r="CY39" s="43">
        <v>0</v>
      </c>
      <c r="CZ39" s="43">
        <v>2</v>
      </c>
      <c r="DA39" s="43">
        <v>3</v>
      </c>
      <c r="DB39" s="43">
        <v>1</v>
      </c>
      <c r="DC39" s="43">
        <v>2</v>
      </c>
      <c r="DD39" s="43">
        <v>1</v>
      </c>
      <c r="DE39" s="43">
        <v>1</v>
      </c>
      <c r="DF39" s="43">
        <v>3</v>
      </c>
      <c r="DG39" s="43">
        <v>0</v>
      </c>
      <c r="DH39" s="43">
        <v>1</v>
      </c>
      <c r="DI39" s="43">
        <v>4</v>
      </c>
      <c r="DJ39" s="43">
        <v>1</v>
      </c>
      <c r="DK39" s="43">
        <v>0</v>
      </c>
      <c r="DL39" s="43">
        <v>4</v>
      </c>
      <c r="DM39" s="43">
        <v>1</v>
      </c>
      <c r="DN39" s="43">
        <v>0</v>
      </c>
      <c r="DO39" s="43">
        <v>2</v>
      </c>
      <c r="DP39" s="43">
        <v>0</v>
      </c>
      <c r="DQ39" s="43">
        <v>1</v>
      </c>
      <c r="DR39" s="43">
        <v>4</v>
      </c>
      <c r="DS39" s="43">
        <v>1</v>
      </c>
      <c r="DT39" s="43">
        <v>0</v>
      </c>
      <c r="DU39" s="43">
        <v>2</v>
      </c>
      <c r="DV39" s="43">
        <v>1</v>
      </c>
      <c r="DW39" s="43">
        <v>0</v>
      </c>
      <c r="DX39" s="43">
        <v>3</v>
      </c>
      <c r="DY39" s="43">
        <v>0</v>
      </c>
      <c r="DZ39" s="43">
        <v>1</v>
      </c>
      <c r="EA39" s="43">
        <v>1</v>
      </c>
      <c r="EB39" s="43">
        <v>1</v>
      </c>
      <c r="EC39" s="43">
        <v>0</v>
      </c>
      <c r="ED39" s="43">
        <v>4</v>
      </c>
      <c r="EE39" s="43">
        <v>2</v>
      </c>
      <c r="EF39" s="43">
        <v>2</v>
      </c>
      <c r="EG39" s="43">
        <v>4</v>
      </c>
      <c r="EH39" s="43">
        <v>1</v>
      </c>
      <c r="EI39" s="43">
        <v>0</v>
      </c>
      <c r="EJ39" s="43">
        <v>3</v>
      </c>
      <c r="EK39" s="43">
        <v>0</v>
      </c>
      <c r="EL39" s="43">
        <v>0</v>
      </c>
      <c r="EM39" s="43">
        <v>2</v>
      </c>
      <c r="EN39" s="43">
        <v>0</v>
      </c>
      <c r="EO39" s="43">
        <v>2</v>
      </c>
      <c r="EP39" s="43">
        <v>2</v>
      </c>
      <c r="EQ39" s="43">
        <v>1</v>
      </c>
      <c r="ER39" s="43">
        <v>0</v>
      </c>
      <c r="ES39" s="43">
        <v>2</v>
      </c>
      <c r="ET39" s="43">
        <v>1</v>
      </c>
      <c r="EU39" s="43">
        <v>0</v>
      </c>
      <c r="EV39" s="43">
        <v>2</v>
      </c>
      <c r="EW39" s="43">
        <v>1</v>
      </c>
      <c r="EX39" s="43">
        <v>2</v>
      </c>
      <c r="EY39" s="43">
        <v>1</v>
      </c>
      <c r="EZ39" s="43">
        <v>0</v>
      </c>
      <c r="FA39" s="43">
        <v>0</v>
      </c>
      <c r="FB39" s="43">
        <v>3</v>
      </c>
      <c r="FC39" s="43">
        <v>2</v>
      </c>
      <c r="FD39" s="43">
        <v>0</v>
      </c>
      <c r="FE39" s="43">
        <v>1</v>
      </c>
      <c r="FF39" s="43">
        <v>1</v>
      </c>
      <c r="FG39" s="43">
        <v>0</v>
      </c>
      <c r="FH39" s="43">
        <v>3</v>
      </c>
      <c r="FI39" s="43">
        <v>0</v>
      </c>
      <c r="FJ39" s="43">
        <v>0</v>
      </c>
      <c r="FK39" s="43">
        <v>1</v>
      </c>
      <c r="FL39" s="43">
        <v>0</v>
      </c>
      <c r="FM39" s="43">
        <v>1</v>
      </c>
      <c r="FN39" s="43">
        <v>2</v>
      </c>
      <c r="FO39" s="43">
        <v>2</v>
      </c>
      <c r="FP39" s="43">
        <v>1</v>
      </c>
      <c r="FQ39" s="43">
        <v>2</v>
      </c>
      <c r="FR39" s="43">
        <v>0</v>
      </c>
      <c r="FS39" s="43">
        <v>1</v>
      </c>
      <c r="FT39" s="43">
        <v>2</v>
      </c>
      <c r="FU39" s="43">
        <v>2</v>
      </c>
      <c r="FV39" s="43">
        <v>0</v>
      </c>
      <c r="FW39" s="43">
        <v>2</v>
      </c>
      <c r="FX39" s="43">
        <v>2</v>
      </c>
      <c r="FY39" s="43">
        <v>2</v>
      </c>
      <c r="FZ39" s="43">
        <v>4</v>
      </c>
      <c r="GA39" s="43">
        <v>1</v>
      </c>
      <c r="GB39" s="43">
        <v>0</v>
      </c>
      <c r="GC39" s="43">
        <v>3</v>
      </c>
      <c r="GD39" s="43">
        <v>0</v>
      </c>
      <c r="GE39" s="43">
        <v>2</v>
      </c>
      <c r="GF39" s="43">
        <v>2</v>
      </c>
      <c r="GG39" s="43">
        <v>0</v>
      </c>
      <c r="GH39" s="43">
        <v>0</v>
      </c>
      <c r="GI39" s="43">
        <v>1</v>
      </c>
      <c r="GJ39" s="43">
        <v>1</v>
      </c>
      <c r="GK39" s="43">
        <v>0</v>
      </c>
      <c r="GL39" s="43">
        <v>2</v>
      </c>
      <c r="GM39" s="43">
        <v>1</v>
      </c>
      <c r="GN39" s="43">
        <v>2</v>
      </c>
      <c r="GO39" s="43">
        <v>3</v>
      </c>
      <c r="GP39" s="43">
        <v>2</v>
      </c>
      <c r="GQ39" s="43">
        <v>0</v>
      </c>
      <c r="GR39" s="43">
        <v>2</v>
      </c>
      <c r="GS39" s="43">
        <v>1</v>
      </c>
      <c r="GT39" s="43">
        <v>1</v>
      </c>
      <c r="GU39" s="43">
        <v>3</v>
      </c>
      <c r="GV39" s="43">
        <v>1</v>
      </c>
      <c r="GW39" s="43">
        <v>0</v>
      </c>
      <c r="GX39" s="43">
        <v>4</v>
      </c>
      <c r="GY39" s="43">
        <v>3</v>
      </c>
      <c r="GZ39" s="43">
        <v>0</v>
      </c>
      <c r="HA39" s="43">
        <v>2</v>
      </c>
      <c r="HB39" s="43">
        <v>0</v>
      </c>
      <c r="HC39" s="43">
        <v>1</v>
      </c>
      <c r="HD39" s="43">
        <v>4</v>
      </c>
      <c r="HE39" s="43">
        <v>2</v>
      </c>
      <c r="HF39" s="43">
        <v>1</v>
      </c>
      <c r="HG39" s="43">
        <v>2</v>
      </c>
      <c r="HH39" s="43">
        <v>1</v>
      </c>
      <c r="HI39" s="43">
        <v>0</v>
      </c>
      <c r="HJ39" s="43">
        <v>3</v>
      </c>
      <c r="HK39" s="43">
        <v>0</v>
      </c>
      <c r="HL39" s="43">
        <v>1</v>
      </c>
      <c r="HM39" s="43">
        <v>4</v>
      </c>
      <c r="HN39" s="43">
        <v>2</v>
      </c>
      <c r="HO39" s="43">
        <v>0</v>
      </c>
      <c r="HP39" s="43">
        <v>3</v>
      </c>
      <c r="HQ39" s="43">
        <v>1</v>
      </c>
      <c r="HR39" s="43">
        <v>0</v>
      </c>
      <c r="HS39" s="43">
        <v>1</v>
      </c>
      <c r="HT39" s="43">
        <v>1</v>
      </c>
      <c r="HU39" s="43">
        <v>0</v>
      </c>
      <c r="HV39" s="43">
        <v>3</v>
      </c>
      <c r="HW39" s="43">
        <v>1</v>
      </c>
      <c r="HX39" s="43">
        <v>2</v>
      </c>
      <c r="HY39" s="43">
        <v>1</v>
      </c>
      <c r="HZ39" s="43">
        <v>0</v>
      </c>
      <c r="IA39" s="43">
        <v>0</v>
      </c>
      <c r="IB39" s="43">
        <v>3</v>
      </c>
      <c r="IC39" s="43">
        <v>1</v>
      </c>
      <c r="ID39" s="43">
        <v>1</v>
      </c>
      <c r="IE39" s="43">
        <v>3</v>
      </c>
      <c r="IF39" s="43">
        <v>0</v>
      </c>
      <c r="IG39" s="43">
        <v>1</v>
      </c>
      <c r="IH39" s="43">
        <v>3</v>
      </c>
      <c r="II39" s="43">
        <v>1</v>
      </c>
      <c r="IJ39" s="43">
        <v>1</v>
      </c>
      <c r="IK39" s="43">
        <v>3</v>
      </c>
      <c r="IL39" s="43">
        <v>2</v>
      </c>
      <c r="IM39" s="43">
        <v>1</v>
      </c>
      <c r="IN39" s="43">
        <v>2</v>
      </c>
      <c r="IO39" s="43">
        <v>0</v>
      </c>
      <c r="IP39" s="43">
        <v>0</v>
      </c>
      <c r="IQ39" s="43">
        <v>1</v>
      </c>
      <c r="IR39" s="43">
        <v>0</v>
      </c>
      <c r="IS39" s="43">
        <v>1</v>
      </c>
      <c r="IT39" s="43">
        <v>3</v>
      </c>
      <c r="IU39" s="43">
        <v>2</v>
      </c>
      <c r="IV39" s="43">
        <v>1</v>
      </c>
      <c r="IW39" s="43">
        <v>2</v>
      </c>
      <c r="IX39" s="43">
        <v>0</v>
      </c>
      <c r="IY39" s="43">
        <v>0</v>
      </c>
      <c r="IZ39" s="43">
        <v>2</v>
      </c>
      <c r="JA39" s="43">
        <v>0</v>
      </c>
      <c r="JB39" s="43">
        <v>1</v>
      </c>
      <c r="JC39" s="43">
        <v>2</v>
      </c>
      <c r="JD39" s="43">
        <v>0</v>
      </c>
      <c r="JE39" s="43">
        <v>0</v>
      </c>
      <c r="JF39" s="43">
        <v>2</v>
      </c>
      <c r="JG39" s="43">
        <v>0</v>
      </c>
      <c r="JH39" s="43">
        <v>1</v>
      </c>
      <c r="JI39" s="43">
        <v>2</v>
      </c>
      <c r="JJ39" s="43">
        <v>1</v>
      </c>
      <c r="JK39" s="43">
        <v>1</v>
      </c>
      <c r="JL39" s="43">
        <v>3</v>
      </c>
      <c r="JM39" s="43">
        <v>2</v>
      </c>
      <c r="JN39" s="43">
        <v>1</v>
      </c>
      <c r="JO39" s="43">
        <v>3</v>
      </c>
      <c r="JP39" s="43">
        <v>1</v>
      </c>
      <c r="JQ39" s="43">
        <v>0</v>
      </c>
      <c r="JR39" s="43">
        <v>1</v>
      </c>
      <c r="JS39" s="43">
        <v>2</v>
      </c>
      <c r="JT39" s="43">
        <v>2</v>
      </c>
      <c r="JU39" s="43">
        <v>2</v>
      </c>
      <c r="JV39" s="43">
        <v>0</v>
      </c>
      <c r="JW39" s="43">
        <v>0</v>
      </c>
      <c r="JX39" s="43">
        <v>3</v>
      </c>
      <c r="JY39" s="43">
        <v>1</v>
      </c>
      <c r="JZ39" s="43">
        <v>1</v>
      </c>
      <c r="KA39" s="43">
        <v>3</v>
      </c>
      <c r="KB39" s="43">
        <v>0</v>
      </c>
      <c r="KC39" s="43">
        <v>0</v>
      </c>
      <c r="KD39" s="43">
        <v>3</v>
      </c>
      <c r="KE39" s="43">
        <v>0</v>
      </c>
      <c r="KF39" s="43">
        <v>1</v>
      </c>
      <c r="KG39" s="43">
        <v>2</v>
      </c>
      <c r="KH39" s="43">
        <v>0</v>
      </c>
      <c r="KI39" s="43">
        <v>1</v>
      </c>
      <c r="KJ39" s="43">
        <v>3</v>
      </c>
      <c r="KK39" s="43">
        <v>2</v>
      </c>
      <c r="KL39" s="43">
        <v>0</v>
      </c>
      <c r="KM39" s="43">
        <v>4</v>
      </c>
      <c r="KN39" s="43">
        <v>0</v>
      </c>
      <c r="KO39" s="43">
        <v>0</v>
      </c>
    </row>
    <row r="40" spans="1:301" x14ac:dyDescent="0.4">
      <c r="A40" s="43">
        <v>36</v>
      </c>
      <c r="B40" s="43">
        <v>4</v>
      </c>
      <c r="C40" s="43">
        <v>0</v>
      </c>
      <c r="D40" s="43">
        <v>2</v>
      </c>
      <c r="E40" s="43">
        <v>3</v>
      </c>
      <c r="F40" s="43">
        <v>0</v>
      </c>
      <c r="G40" s="43">
        <v>3</v>
      </c>
      <c r="H40" s="43">
        <v>1</v>
      </c>
      <c r="I40" s="43">
        <v>1</v>
      </c>
      <c r="J40" s="43">
        <v>1</v>
      </c>
      <c r="K40" s="43">
        <v>3</v>
      </c>
      <c r="L40" s="43">
        <v>0</v>
      </c>
      <c r="M40" s="43">
        <v>1</v>
      </c>
      <c r="N40" s="43">
        <v>2</v>
      </c>
      <c r="O40" s="43">
        <v>0</v>
      </c>
      <c r="P40" s="43">
        <v>2</v>
      </c>
      <c r="Q40" s="43">
        <v>2</v>
      </c>
      <c r="R40" s="43">
        <v>0</v>
      </c>
      <c r="S40" s="43">
        <v>1</v>
      </c>
      <c r="T40" s="43">
        <v>1</v>
      </c>
      <c r="U40" s="43">
        <v>1</v>
      </c>
      <c r="V40" s="43">
        <v>0</v>
      </c>
      <c r="W40" s="43">
        <v>2</v>
      </c>
      <c r="X40" s="43">
        <v>2</v>
      </c>
      <c r="Y40" s="43">
        <v>0</v>
      </c>
      <c r="Z40" s="43">
        <v>2</v>
      </c>
      <c r="AA40" s="43">
        <v>2</v>
      </c>
      <c r="AB40" s="43">
        <v>1</v>
      </c>
      <c r="AC40" s="43">
        <v>2</v>
      </c>
      <c r="AD40" s="43">
        <v>1</v>
      </c>
      <c r="AE40" s="43">
        <v>2</v>
      </c>
      <c r="AF40" s="43">
        <v>4</v>
      </c>
      <c r="AG40" s="43">
        <v>0</v>
      </c>
      <c r="AH40" s="43">
        <v>0</v>
      </c>
      <c r="AI40" s="43">
        <v>2</v>
      </c>
      <c r="AJ40" s="43">
        <v>1</v>
      </c>
      <c r="AK40" s="43">
        <v>0</v>
      </c>
      <c r="AL40" s="43">
        <v>3</v>
      </c>
      <c r="AM40" s="43">
        <v>1</v>
      </c>
      <c r="AN40" s="43">
        <v>1</v>
      </c>
      <c r="AO40" s="43">
        <v>2</v>
      </c>
      <c r="AP40" s="43">
        <v>3</v>
      </c>
      <c r="AQ40" s="43">
        <v>0</v>
      </c>
      <c r="AR40" s="43">
        <v>1</v>
      </c>
      <c r="AS40" s="43">
        <v>1</v>
      </c>
      <c r="AT40" s="43">
        <v>2</v>
      </c>
      <c r="AU40" s="43">
        <v>2</v>
      </c>
      <c r="AV40" s="43">
        <v>2</v>
      </c>
      <c r="AW40" s="43">
        <v>1</v>
      </c>
      <c r="AX40" s="43">
        <v>3</v>
      </c>
      <c r="AY40" s="43">
        <v>2</v>
      </c>
      <c r="AZ40" s="43">
        <v>0</v>
      </c>
      <c r="BA40" s="43">
        <v>3</v>
      </c>
      <c r="BB40" s="43">
        <v>1</v>
      </c>
      <c r="BC40" s="43">
        <v>1</v>
      </c>
      <c r="BD40" s="43">
        <v>3</v>
      </c>
      <c r="BE40" s="43">
        <v>1</v>
      </c>
      <c r="BF40" s="43">
        <v>2</v>
      </c>
      <c r="BG40" s="43">
        <v>2</v>
      </c>
      <c r="BH40" s="43">
        <v>0</v>
      </c>
      <c r="BI40" s="43">
        <v>0</v>
      </c>
      <c r="BJ40" s="43">
        <v>2</v>
      </c>
      <c r="BK40" s="43">
        <v>0</v>
      </c>
      <c r="BL40" s="43">
        <v>0</v>
      </c>
      <c r="BM40" s="43">
        <v>3</v>
      </c>
      <c r="BN40" s="43">
        <v>1</v>
      </c>
      <c r="BO40" s="43">
        <v>1</v>
      </c>
      <c r="BP40" s="43">
        <v>2</v>
      </c>
      <c r="BQ40" s="43">
        <v>1</v>
      </c>
      <c r="BR40" s="43">
        <v>1</v>
      </c>
      <c r="BS40" s="43">
        <v>2</v>
      </c>
      <c r="BT40" s="43">
        <v>0</v>
      </c>
      <c r="BU40" s="43">
        <v>1</v>
      </c>
      <c r="BV40" s="43">
        <v>2</v>
      </c>
      <c r="BW40" s="43">
        <v>0</v>
      </c>
      <c r="BX40" s="43">
        <v>0</v>
      </c>
      <c r="BY40" s="43">
        <v>3</v>
      </c>
      <c r="BZ40" s="43">
        <v>1</v>
      </c>
      <c r="CA40" s="43">
        <v>1</v>
      </c>
      <c r="CB40" s="43">
        <v>0</v>
      </c>
      <c r="CC40" s="43">
        <v>0</v>
      </c>
      <c r="CD40" s="43">
        <v>1</v>
      </c>
      <c r="CE40" s="43">
        <v>2</v>
      </c>
      <c r="CF40" s="43">
        <v>0</v>
      </c>
      <c r="CG40" s="43">
        <v>2</v>
      </c>
      <c r="CH40" s="43">
        <v>2</v>
      </c>
      <c r="CI40" s="43">
        <v>2</v>
      </c>
      <c r="CJ40" s="43">
        <v>3</v>
      </c>
      <c r="CK40" s="43">
        <v>3</v>
      </c>
      <c r="CL40" s="43">
        <v>1</v>
      </c>
      <c r="CM40" s="43">
        <v>1</v>
      </c>
      <c r="CN40" s="43">
        <v>3</v>
      </c>
      <c r="CO40" s="43">
        <v>1</v>
      </c>
      <c r="CP40" s="43">
        <v>1</v>
      </c>
      <c r="CQ40" s="43">
        <v>2</v>
      </c>
      <c r="CR40" s="43">
        <v>2</v>
      </c>
      <c r="CS40" s="43">
        <v>0</v>
      </c>
      <c r="CT40" s="43">
        <v>2</v>
      </c>
      <c r="CU40" s="43">
        <v>0</v>
      </c>
      <c r="CV40" s="43">
        <v>2</v>
      </c>
      <c r="CW40" s="43">
        <v>2</v>
      </c>
      <c r="CX40" s="43">
        <v>0</v>
      </c>
      <c r="CY40" s="43">
        <v>0</v>
      </c>
      <c r="CZ40" s="43">
        <v>2</v>
      </c>
      <c r="DA40" s="43">
        <v>1</v>
      </c>
      <c r="DB40" s="43">
        <v>2</v>
      </c>
      <c r="DC40" s="43">
        <v>2</v>
      </c>
      <c r="DD40" s="43">
        <v>1</v>
      </c>
      <c r="DE40" s="43">
        <v>0</v>
      </c>
      <c r="DF40" s="43">
        <v>2</v>
      </c>
      <c r="DG40" s="43">
        <v>1</v>
      </c>
      <c r="DH40" s="43">
        <v>0</v>
      </c>
      <c r="DI40" s="43">
        <v>1</v>
      </c>
      <c r="DJ40" s="43">
        <v>0</v>
      </c>
      <c r="DK40" s="43">
        <v>1</v>
      </c>
      <c r="DL40" s="43">
        <v>2</v>
      </c>
      <c r="DM40" s="43">
        <v>2</v>
      </c>
      <c r="DN40" s="43">
        <v>1</v>
      </c>
      <c r="DO40" s="43">
        <v>2</v>
      </c>
      <c r="DP40" s="43">
        <v>0</v>
      </c>
      <c r="DQ40" s="43">
        <v>1</v>
      </c>
      <c r="DR40" s="43">
        <v>3</v>
      </c>
      <c r="DS40" s="43">
        <v>2</v>
      </c>
      <c r="DT40" s="43">
        <v>0</v>
      </c>
      <c r="DU40" s="43">
        <v>3</v>
      </c>
      <c r="DV40" s="43">
        <v>0</v>
      </c>
      <c r="DW40" s="43">
        <v>1</v>
      </c>
      <c r="DX40" s="43">
        <v>2</v>
      </c>
      <c r="DY40" s="43">
        <v>0</v>
      </c>
      <c r="DZ40" s="43">
        <v>0</v>
      </c>
      <c r="EA40" s="43">
        <v>1</v>
      </c>
      <c r="EB40" s="43">
        <v>1</v>
      </c>
      <c r="EC40" s="43">
        <v>0</v>
      </c>
      <c r="ED40" s="43">
        <v>3</v>
      </c>
      <c r="EE40" s="43">
        <v>1</v>
      </c>
      <c r="EF40" s="43">
        <v>0</v>
      </c>
      <c r="EG40" s="43">
        <v>3</v>
      </c>
      <c r="EH40" s="43">
        <v>1</v>
      </c>
      <c r="EI40" s="43">
        <v>1</v>
      </c>
      <c r="EJ40" s="43">
        <v>4</v>
      </c>
      <c r="EK40" s="43">
        <v>2</v>
      </c>
      <c r="EL40" s="43">
        <v>1</v>
      </c>
      <c r="EM40" s="43">
        <v>2</v>
      </c>
      <c r="EN40" s="43">
        <v>0</v>
      </c>
      <c r="EO40" s="43">
        <v>0</v>
      </c>
      <c r="EP40" s="43">
        <v>0</v>
      </c>
      <c r="EQ40" s="43">
        <v>0</v>
      </c>
      <c r="ER40" s="43">
        <v>0</v>
      </c>
      <c r="ES40" s="43">
        <v>1</v>
      </c>
      <c r="ET40" s="43">
        <v>1</v>
      </c>
      <c r="EU40" s="43">
        <v>0</v>
      </c>
      <c r="EV40" s="43">
        <v>2</v>
      </c>
      <c r="EW40" s="43">
        <v>1</v>
      </c>
      <c r="EX40" s="43">
        <v>1</v>
      </c>
      <c r="EY40" s="43">
        <v>1</v>
      </c>
      <c r="EZ40" s="43">
        <v>2</v>
      </c>
      <c r="FA40" s="43">
        <v>0</v>
      </c>
      <c r="FB40" s="43">
        <v>2</v>
      </c>
      <c r="FC40" s="43">
        <v>0</v>
      </c>
      <c r="FD40" s="43">
        <v>1</v>
      </c>
      <c r="FE40" s="43">
        <v>3</v>
      </c>
      <c r="FF40" s="43">
        <v>1</v>
      </c>
      <c r="FG40" s="43">
        <v>2</v>
      </c>
      <c r="FH40" s="43">
        <v>3</v>
      </c>
      <c r="FI40" s="43">
        <v>1</v>
      </c>
      <c r="FJ40" s="43">
        <v>0</v>
      </c>
      <c r="FK40" s="43">
        <v>2</v>
      </c>
      <c r="FL40" s="43">
        <v>0</v>
      </c>
      <c r="FM40" s="43">
        <v>0</v>
      </c>
      <c r="FN40" s="43">
        <v>1</v>
      </c>
      <c r="FO40" s="43">
        <v>2</v>
      </c>
      <c r="FP40" s="43">
        <v>1</v>
      </c>
      <c r="FQ40" s="43">
        <v>3</v>
      </c>
      <c r="FR40" s="43">
        <v>1</v>
      </c>
      <c r="FS40" s="43">
        <v>0</v>
      </c>
      <c r="FT40" s="43">
        <v>4</v>
      </c>
      <c r="FU40" s="43">
        <v>1</v>
      </c>
      <c r="FV40" s="43">
        <v>2</v>
      </c>
      <c r="FW40" s="43">
        <v>1</v>
      </c>
      <c r="FX40" s="43">
        <v>2</v>
      </c>
      <c r="FY40" s="43">
        <v>0</v>
      </c>
      <c r="FZ40" s="43">
        <v>1</v>
      </c>
      <c r="GA40" s="43">
        <v>0</v>
      </c>
      <c r="GB40" s="43">
        <v>0</v>
      </c>
      <c r="GC40" s="43">
        <v>2</v>
      </c>
      <c r="GD40" s="43">
        <v>2</v>
      </c>
      <c r="GE40" s="43">
        <v>1</v>
      </c>
      <c r="GF40" s="43">
        <v>3</v>
      </c>
      <c r="GG40" s="43">
        <v>2</v>
      </c>
      <c r="GH40" s="43">
        <v>1</v>
      </c>
      <c r="GI40" s="43">
        <v>2</v>
      </c>
      <c r="GJ40" s="43">
        <v>1</v>
      </c>
      <c r="GK40" s="43">
        <v>0</v>
      </c>
      <c r="GL40" s="43">
        <v>3</v>
      </c>
      <c r="GM40" s="43">
        <v>1</v>
      </c>
      <c r="GN40" s="43">
        <v>1</v>
      </c>
      <c r="GO40" s="43">
        <v>2</v>
      </c>
      <c r="GP40" s="43">
        <v>2</v>
      </c>
      <c r="GQ40" s="43">
        <v>1</v>
      </c>
      <c r="GR40" s="43">
        <v>3</v>
      </c>
      <c r="GS40" s="43">
        <v>1</v>
      </c>
      <c r="GT40" s="43">
        <v>2</v>
      </c>
      <c r="GU40" s="43">
        <v>4</v>
      </c>
      <c r="GV40" s="43">
        <v>0</v>
      </c>
      <c r="GW40" s="43">
        <v>1</v>
      </c>
      <c r="GX40" s="43">
        <v>3</v>
      </c>
      <c r="GY40" s="43">
        <v>0</v>
      </c>
      <c r="GZ40" s="43">
        <v>0</v>
      </c>
      <c r="HA40" s="43">
        <v>3</v>
      </c>
      <c r="HB40" s="43">
        <v>0</v>
      </c>
      <c r="HC40" s="43">
        <v>1</v>
      </c>
      <c r="HD40" s="43">
        <v>2</v>
      </c>
      <c r="HE40" s="43">
        <v>0</v>
      </c>
      <c r="HF40" s="43">
        <v>1</v>
      </c>
      <c r="HG40" s="43">
        <v>2</v>
      </c>
      <c r="HH40" s="43">
        <v>2</v>
      </c>
      <c r="HI40" s="43">
        <v>3</v>
      </c>
      <c r="HJ40" s="43">
        <v>3</v>
      </c>
      <c r="HK40" s="43">
        <v>1</v>
      </c>
      <c r="HL40" s="43">
        <v>0</v>
      </c>
      <c r="HM40" s="43">
        <v>3</v>
      </c>
      <c r="HN40" s="43">
        <v>1</v>
      </c>
      <c r="HO40" s="43">
        <v>1</v>
      </c>
      <c r="HP40" s="43">
        <v>2</v>
      </c>
      <c r="HQ40" s="43">
        <v>1</v>
      </c>
      <c r="HR40" s="43">
        <v>2</v>
      </c>
      <c r="HS40" s="43">
        <v>3</v>
      </c>
      <c r="HT40" s="43">
        <v>1</v>
      </c>
      <c r="HU40" s="43">
        <v>0</v>
      </c>
      <c r="HV40" s="43">
        <v>1</v>
      </c>
      <c r="HW40" s="43">
        <v>1</v>
      </c>
      <c r="HX40" s="43">
        <v>0</v>
      </c>
      <c r="HY40" s="43">
        <v>3</v>
      </c>
      <c r="HZ40" s="43">
        <v>2</v>
      </c>
      <c r="IA40" s="43">
        <v>0</v>
      </c>
      <c r="IB40" s="43">
        <v>4</v>
      </c>
      <c r="IC40" s="43">
        <v>0</v>
      </c>
      <c r="ID40" s="43">
        <v>1</v>
      </c>
      <c r="IE40" s="43">
        <v>4</v>
      </c>
      <c r="IF40" s="43">
        <v>0</v>
      </c>
      <c r="IG40" s="43">
        <v>1</v>
      </c>
      <c r="IH40" s="43">
        <v>3</v>
      </c>
      <c r="II40" s="43">
        <v>0</v>
      </c>
      <c r="IJ40" s="43">
        <v>1</v>
      </c>
      <c r="IK40" s="43">
        <v>2</v>
      </c>
      <c r="IL40" s="43">
        <v>0</v>
      </c>
      <c r="IM40" s="43">
        <v>1</v>
      </c>
      <c r="IN40" s="43">
        <v>2</v>
      </c>
      <c r="IO40" s="43">
        <v>1</v>
      </c>
      <c r="IP40" s="43">
        <v>2</v>
      </c>
      <c r="IQ40" s="43">
        <v>1</v>
      </c>
      <c r="IR40" s="43">
        <v>1</v>
      </c>
      <c r="IS40" s="43">
        <v>1</v>
      </c>
      <c r="IT40" s="43">
        <v>4</v>
      </c>
      <c r="IU40" s="43">
        <v>2</v>
      </c>
      <c r="IV40" s="43">
        <v>2</v>
      </c>
      <c r="IW40" s="43">
        <v>2</v>
      </c>
      <c r="IX40" s="43">
        <v>2</v>
      </c>
      <c r="IY40" s="43">
        <v>1</v>
      </c>
      <c r="IZ40" s="43">
        <v>4</v>
      </c>
      <c r="JA40" s="43">
        <v>0</v>
      </c>
      <c r="JB40" s="43">
        <v>1</v>
      </c>
      <c r="JC40" s="43">
        <v>3</v>
      </c>
      <c r="JD40" s="43">
        <v>1</v>
      </c>
      <c r="JE40" s="43">
        <v>0</v>
      </c>
      <c r="JF40" s="43">
        <v>4</v>
      </c>
      <c r="JG40" s="43">
        <v>0</v>
      </c>
      <c r="JH40" s="43">
        <v>1</v>
      </c>
      <c r="JI40" s="43">
        <v>2</v>
      </c>
      <c r="JJ40" s="43">
        <v>1</v>
      </c>
      <c r="JK40" s="43">
        <v>0</v>
      </c>
      <c r="JL40" s="43">
        <v>2</v>
      </c>
      <c r="JM40" s="43">
        <v>1</v>
      </c>
      <c r="JN40" s="43">
        <v>1</v>
      </c>
      <c r="JO40" s="43">
        <v>3</v>
      </c>
      <c r="JP40" s="43">
        <v>1</v>
      </c>
      <c r="JQ40" s="43">
        <v>1</v>
      </c>
      <c r="JR40" s="43">
        <v>4</v>
      </c>
      <c r="JS40" s="43">
        <v>1</v>
      </c>
      <c r="JT40" s="43">
        <v>0</v>
      </c>
      <c r="JU40" s="43">
        <v>4</v>
      </c>
      <c r="JV40" s="43">
        <v>1</v>
      </c>
      <c r="JW40" s="43">
        <v>1</v>
      </c>
      <c r="JX40" s="43">
        <v>2</v>
      </c>
      <c r="JY40" s="43">
        <v>1</v>
      </c>
      <c r="JZ40" s="43">
        <v>0</v>
      </c>
      <c r="KA40" s="43">
        <v>2</v>
      </c>
      <c r="KB40" s="43">
        <v>1</v>
      </c>
      <c r="KC40" s="43">
        <v>0</v>
      </c>
      <c r="KD40" s="43">
        <v>3</v>
      </c>
      <c r="KE40" s="43">
        <v>0</v>
      </c>
      <c r="KF40" s="43">
        <v>0</v>
      </c>
      <c r="KG40" s="43">
        <v>2</v>
      </c>
      <c r="KH40" s="43">
        <v>2</v>
      </c>
      <c r="KI40" s="43">
        <v>0</v>
      </c>
      <c r="KJ40" s="43">
        <v>3</v>
      </c>
      <c r="KK40" s="43">
        <v>0</v>
      </c>
      <c r="KL40" s="43">
        <v>1</v>
      </c>
      <c r="KM40" s="43">
        <v>3</v>
      </c>
      <c r="KN40" s="43">
        <v>2</v>
      </c>
      <c r="KO40" s="43">
        <v>1</v>
      </c>
    </row>
  </sheetData>
  <dataConsolidate/>
  <mergeCells count="100">
    <mergeCell ref="Q2:S2"/>
    <mergeCell ref="B2:D2"/>
    <mergeCell ref="E2:G2"/>
    <mergeCell ref="H2:J2"/>
    <mergeCell ref="K2:M2"/>
    <mergeCell ref="N2:P2"/>
    <mergeCell ref="BA2:BC2"/>
    <mergeCell ref="T2:V2"/>
    <mergeCell ref="W2:Y2"/>
    <mergeCell ref="Z2:AB2"/>
    <mergeCell ref="AC2:AE2"/>
    <mergeCell ref="AF2:AH2"/>
    <mergeCell ref="AI2:AK2"/>
    <mergeCell ref="AL2:AN2"/>
    <mergeCell ref="AO2:AQ2"/>
    <mergeCell ref="AR2:AT2"/>
    <mergeCell ref="AU2:AW2"/>
    <mergeCell ref="AX2:AZ2"/>
    <mergeCell ref="CK2:CM2"/>
    <mergeCell ref="BD2:BF2"/>
    <mergeCell ref="BG2:BI2"/>
    <mergeCell ref="BJ2:BL2"/>
    <mergeCell ref="BM2:BO2"/>
    <mergeCell ref="BP2:BR2"/>
    <mergeCell ref="BS2:BU2"/>
    <mergeCell ref="BV2:BX2"/>
    <mergeCell ref="BY2:CA2"/>
    <mergeCell ref="CB2:CD2"/>
    <mergeCell ref="CE2:CG2"/>
    <mergeCell ref="CH2:CJ2"/>
    <mergeCell ref="DU2:DW2"/>
    <mergeCell ref="CN2:CP2"/>
    <mergeCell ref="CQ2:CS2"/>
    <mergeCell ref="CT2:CV2"/>
    <mergeCell ref="CW2:CY2"/>
    <mergeCell ref="CZ2:DB2"/>
    <mergeCell ref="DC2:DE2"/>
    <mergeCell ref="DF2:DH2"/>
    <mergeCell ref="DI2:DK2"/>
    <mergeCell ref="DL2:DN2"/>
    <mergeCell ref="DO2:DQ2"/>
    <mergeCell ref="DR2:DT2"/>
    <mergeCell ref="FE2:FG2"/>
    <mergeCell ref="DX2:DZ2"/>
    <mergeCell ref="EA2:EC2"/>
    <mergeCell ref="ED2:EF2"/>
    <mergeCell ref="EG2:EI2"/>
    <mergeCell ref="EJ2:EL2"/>
    <mergeCell ref="EM2:EO2"/>
    <mergeCell ref="EP2:ER2"/>
    <mergeCell ref="ES2:EU2"/>
    <mergeCell ref="EV2:EX2"/>
    <mergeCell ref="EY2:FA2"/>
    <mergeCell ref="FB2:FD2"/>
    <mergeCell ref="GO2:GQ2"/>
    <mergeCell ref="FH2:FJ2"/>
    <mergeCell ref="FK2:FM2"/>
    <mergeCell ref="FN2:FP2"/>
    <mergeCell ref="FQ2:FS2"/>
    <mergeCell ref="FT2:FV2"/>
    <mergeCell ref="FW2:FY2"/>
    <mergeCell ref="FZ2:GB2"/>
    <mergeCell ref="GC2:GE2"/>
    <mergeCell ref="GF2:GH2"/>
    <mergeCell ref="GI2:GK2"/>
    <mergeCell ref="GL2:GN2"/>
    <mergeCell ref="HY2:IA2"/>
    <mergeCell ref="GR2:GT2"/>
    <mergeCell ref="GU2:GW2"/>
    <mergeCell ref="GX2:GZ2"/>
    <mergeCell ref="HA2:HC2"/>
    <mergeCell ref="HD2:HF2"/>
    <mergeCell ref="HG2:HI2"/>
    <mergeCell ref="HJ2:HL2"/>
    <mergeCell ref="HM2:HO2"/>
    <mergeCell ref="HP2:HR2"/>
    <mergeCell ref="HS2:HU2"/>
    <mergeCell ref="HV2:HX2"/>
    <mergeCell ref="JI2:JK2"/>
    <mergeCell ref="IB2:ID2"/>
    <mergeCell ref="IE2:IG2"/>
    <mergeCell ref="IH2:IJ2"/>
    <mergeCell ref="IK2:IM2"/>
    <mergeCell ref="IN2:IP2"/>
    <mergeCell ref="IQ2:IS2"/>
    <mergeCell ref="IT2:IV2"/>
    <mergeCell ref="IW2:IY2"/>
    <mergeCell ref="IZ2:JB2"/>
    <mergeCell ref="JC2:JE2"/>
    <mergeCell ref="JF2:JH2"/>
    <mergeCell ref="KD2:KF2"/>
    <mergeCell ref="KG2:KI2"/>
    <mergeCell ref="KJ2:KL2"/>
    <mergeCell ref="KM2:KO2"/>
    <mergeCell ref="JL2:JN2"/>
    <mergeCell ref="JO2:JQ2"/>
    <mergeCell ref="JR2:JT2"/>
    <mergeCell ref="JU2:JW2"/>
    <mergeCell ref="JX2:JZ2"/>
    <mergeCell ref="KA2:KC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769" r:id="rId4" name="CommandButton1">
          <controlPr defaultSize="0" autoLine="0" r:id="rId5">
            <anchor moveWithCells="1">
              <from>
                <xdr:col>0</xdr:col>
                <xdr:colOff>266700</xdr:colOff>
                <xdr:row>0</xdr:row>
                <xdr:rowOff>0</xdr:rowOff>
              </from>
              <to>
                <xdr:col>2</xdr:col>
                <xdr:colOff>144780</xdr:colOff>
                <xdr:row>1</xdr:row>
                <xdr:rowOff>45720</xdr:rowOff>
              </to>
            </anchor>
          </controlPr>
        </control>
      </mc:Choice>
      <mc:Fallback>
        <control shapeId="32769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95F98-6FEC-47B0-A6D0-4B502714A7CB}">
  <sheetPr codeName="generator1"/>
  <dimension ref="A3:M51"/>
  <sheetViews>
    <sheetView zoomScaleNormal="100" workbookViewId="0">
      <selection activeCell="D25" sqref="D25"/>
    </sheetView>
  </sheetViews>
  <sheetFormatPr defaultRowHeight="17.399999999999999" x14ac:dyDescent="0.4"/>
  <cols>
    <col min="2" max="2" width="15.296875" customWidth="1"/>
    <col min="4" max="4" width="59.09765625" bestFit="1" customWidth="1"/>
    <col min="6" max="8" width="7.19921875" customWidth="1"/>
    <col min="9" max="13" width="8.796875" style="18"/>
  </cols>
  <sheetData>
    <row r="3" spans="1:8" s="18" customFormat="1" x14ac:dyDescent="0.4">
      <c r="A3" s="1" t="s">
        <v>0</v>
      </c>
      <c r="B3"/>
      <c r="C3"/>
      <c r="D3"/>
      <c r="E3"/>
      <c r="F3"/>
      <c r="G3"/>
      <c r="H3"/>
    </row>
    <row r="4" spans="1:8" s="18" customFormat="1" x14ac:dyDescent="0.4">
      <c r="A4" s="1" t="s">
        <v>1</v>
      </c>
      <c r="B4"/>
      <c r="C4"/>
      <c r="D4"/>
      <c r="E4"/>
      <c r="F4"/>
      <c r="G4"/>
      <c r="H4"/>
    </row>
    <row r="6" spans="1:8" s="18" customFormat="1" x14ac:dyDescent="0.4">
      <c r="A6" s="2" t="s">
        <v>3</v>
      </c>
      <c r="B6" s="4"/>
      <c r="C6" s="4"/>
      <c r="D6" s="4"/>
      <c r="E6" s="4" t="s">
        <v>18</v>
      </c>
      <c r="F6" s="4" t="s">
        <v>19</v>
      </c>
      <c r="G6" s="4"/>
      <c r="H6" s="5"/>
    </row>
    <row r="7" spans="1:8" s="18" customFormat="1" x14ac:dyDescent="0.4">
      <c r="A7" s="13" t="s">
        <v>15</v>
      </c>
      <c r="B7" s="6" t="s">
        <v>91</v>
      </c>
      <c r="C7" s="6">
        <f>MATCH("project",A:A,0)</f>
        <v>22</v>
      </c>
      <c r="D7" s="6"/>
      <c r="E7" s="6"/>
      <c r="F7" s="6"/>
      <c r="G7" s="6"/>
      <c r="H7" s="7"/>
    </row>
    <row r="8" spans="1:8" s="18" customFormat="1" x14ac:dyDescent="0.4">
      <c r="A8" s="14"/>
      <c r="B8" s="8" t="s">
        <v>92</v>
      </c>
      <c r="C8" s="8">
        <f>MATCH("last",A:A,0)-MATCH("Global",A:A,0)+1</f>
        <v>45</v>
      </c>
      <c r="D8" s="8"/>
      <c r="E8" s="8"/>
      <c r="F8" s="8"/>
      <c r="G8" s="8"/>
      <c r="H8" s="9"/>
    </row>
    <row r="9" spans="1:8" s="18" customFormat="1" x14ac:dyDescent="0.4">
      <c r="A9" s="14"/>
      <c r="B9" s="8" t="s">
        <v>93</v>
      </c>
      <c r="C9" s="8">
        <v>2</v>
      </c>
      <c r="D9" s="8" t="s">
        <v>27</v>
      </c>
      <c r="E9" s="8"/>
      <c r="F9" s="8"/>
      <c r="G9" s="8"/>
      <c r="H9" s="9"/>
    </row>
    <row r="10" spans="1:8" s="18" customFormat="1" x14ac:dyDescent="0.4">
      <c r="A10" s="14"/>
      <c r="B10" s="8" t="s">
        <v>31</v>
      </c>
      <c r="C10" s="8">
        <f>MATCH("project_end",A:A,0)-MATCH("project",A:A,0)+1</f>
        <v>10</v>
      </c>
      <c r="D10" s="8" t="s">
        <v>30</v>
      </c>
      <c r="E10" s="8"/>
      <c r="F10" s="8"/>
      <c r="G10" s="8"/>
      <c r="H10" s="9"/>
    </row>
    <row r="11" spans="1:8" s="18" customFormat="1" x14ac:dyDescent="0.4">
      <c r="A11" s="14"/>
      <c r="B11" s="8" t="s">
        <v>70</v>
      </c>
      <c r="C11" s="8">
        <v>13</v>
      </c>
      <c r="D11" s="8" t="s">
        <v>54</v>
      </c>
      <c r="E11" s="8"/>
      <c r="F11" s="8"/>
      <c r="G11" s="8"/>
      <c r="H11" s="9"/>
    </row>
    <row r="12" spans="1:8" s="18" customFormat="1" x14ac:dyDescent="0.4">
      <c r="A12" s="14"/>
      <c r="B12" s="8" t="s">
        <v>71</v>
      </c>
      <c r="C12" s="8">
        <v>21</v>
      </c>
      <c r="D12" s="8" t="s">
        <v>55</v>
      </c>
      <c r="E12" s="8"/>
      <c r="F12" s="8"/>
      <c r="G12" s="8"/>
      <c r="H12" s="9"/>
    </row>
    <row r="13" spans="1:8" s="18" customFormat="1" x14ac:dyDescent="0.4">
      <c r="A13" s="14"/>
      <c r="B13" s="8" t="s">
        <v>72</v>
      </c>
      <c r="C13" s="34">
        <v>6</v>
      </c>
      <c r="D13" s="8" t="s">
        <v>56</v>
      </c>
      <c r="E13" s="8"/>
      <c r="F13" s="8"/>
      <c r="G13" s="8"/>
      <c r="H13" s="9"/>
    </row>
    <row r="14" spans="1:8" s="18" customFormat="1" x14ac:dyDescent="0.4">
      <c r="A14" s="14"/>
      <c r="B14" s="34" t="s">
        <v>73</v>
      </c>
      <c r="C14" s="34">
        <v>3</v>
      </c>
      <c r="D14" s="34" t="s">
        <v>68</v>
      </c>
      <c r="E14" s="8"/>
      <c r="F14" s="8"/>
      <c r="G14" s="8"/>
      <c r="H14" s="9"/>
    </row>
    <row r="15" spans="1:8" s="18" customFormat="1" x14ac:dyDescent="0.4">
      <c r="A15" s="14"/>
      <c r="B15" s="34" t="s">
        <v>74</v>
      </c>
      <c r="C15" s="8"/>
      <c r="D15" s="34" t="s">
        <v>69</v>
      </c>
      <c r="E15" s="8"/>
      <c r="F15" s="8"/>
      <c r="G15" s="8"/>
      <c r="H15" s="9"/>
    </row>
    <row r="16" spans="1:8" s="18" customFormat="1" x14ac:dyDescent="0.4">
      <c r="A16" s="14"/>
      <c r="B16" s="34"/>
      <c r="C16" s="8"/>
      <c r="D16" s="8"/>
      <c r="E16" s="8"/>
      <c r="F16" s="8"/>
      <c r="G16" s="8"/>
      <c r="H16" s="9"/>
    </row>
    <row r="17" spans="1:8" s="18" customFormat="1" x14ac:dyDescent="0.4">
      <c r="A17" s="14"/>
      <c r="B17" s="8"/>
      <c r="C17" s="8"/>
      <c r="D17" s="8"/>
      <c r="E17" s="8"/>
      <c r="F17" s="8"/>
      <c r="G17" s="8"/>
      <c r="H17" s="9"/>
    </row>
    <row r="18" spans="1:8" s="18" customFormat="1" x14ac:dyDescent="0.4">
      <c r="A18" s="14"/>
      <c r="B18" s="8"/>
      <c r="C18" s="8"/>
      <c r="D18" s="8"/>
      <c r="E18" s="8"/>
      <c r="F18" s="8"/>
      <c r="G18" s="8"/>
      <c r="H18" s="9"/>
    </row>
    <row r="19" spans="1:8" s="18" customFormat="1" x14ac:dyDescent="0.4">
      <c r="A19" s="14"/>
      <c r="B19" s="8"/>
      <c r="C19" s="8"/>
      <c r="D19" s="8"/>
      <c r="E19" s="8"/>
      <c r="F19" s="8"/>
      <c r="G19" s="8"/>
      <c r="H19" s="9"/>
    </row>
    <row r="20" spans="1:8" s="18" customFormat="1" x14ac:dyDescent="0.4">
      <c r="A20" s="14"/>
      <c r="B20" s="8"/>
      <c r="C20" s="8"/>
      <c r="D20" s="8"/>
      <c r="E20" s="8"/>
      <c r="F20" s="8"/>
      <c r="G20" s="8"/>
      <c r="H20" s="9"/>
    </row>
    <row r="21" spans="1:8" s="18" customFormat="1" x14ac:dyDescent="0.4">
      <c r="A21" s="15"/>
      <c r="B21" s="10"/>
      <c r="C21" s="10"/>
      <c r="D21" s="10"/>
      <c r="E21" s="10"/>
      <c r="F21" s="10"/>
      <c r="G21" s="10"/>
      <c r="H21" s="11"/>
    </row>
    <row r="22" spans="1:8" s="18" customFormat="1" x14ac:dyDescent="0.4">
      <c r="A22" s="13" t="s">
        <v>2</v>
      </c>
      <c r="B22" t="s">
        <v>85</v>
      </c>
      <c r="C22" s="6">
        <v>0.6</v>
      </c>
      <c r="D22" s="39" t="s">
        <v>95</v>
      </c>
      <c r="E22" s="6"/>
      <c r="F22" s="6"/>
      <c r="G22" s="6"/>
      <c r="H22" s="7"/>
    </row>
    <row r="23" spans="1:8" s="18" customFormat="1" x14ac:dyDescent="0.4">
      <c r="A23" s="14"/>
      <c r="B23" t="s">
        <v>86</v>
      </c>
      <c r="C23" s="8">
        <v>0.25</v>
      </c>
      <c r="D23" s="36" t="s">
        <v>84</v>
      </c>
      <c r="E23" s="8"/>
      <c r="F23" s="8"/>
      <c r="G23" s="8"/>
      <c r="H23" s="9"/>
    </row>
    <row r="24" spans="1:8" s="18" customFormat="1" x14ac:dyDescent="0.4">
      <c r="A24" s="14"/>
      <c r="B24" t="s">
        <v>87</v>
      </c>
      <c r="C24" s="8">
        <v>0.17499999999999999</v>
      </c>
      <c r="D24" s="35" t="s">
        <v>80</v>
      </c>
      <c r="E24" s="8"/>
      <c r="F24" s="8"/>
      <c r="G24" s="8"/>
      <c r="H24" s="9"/>
    </row>
    <row r="25" spans="1:8" s="18" customFormat="1" x14ac:dyDescent="0.4">
      <c r="A25" s="14"/>
      <c r="B25" s="6" t="s">
        <v>23</v>
      </c>
      <c r="C25" s="6">
        <v>3</v>
      </c>
      <c r="D25" s="40" t="s">
        <v>103</v>
      </c>
      <c r="E25" s="8"/>
      <c r="F25" s="8"/>
      <c r="G25" s="8"/>
      <c r="H25" s="9"/>
    </row>
    <row r="26" spans="1:8" s="18" customFormat="1" x14ac:dyDescent="0.4">
      <c r="A26" s="14"/>
      <c r="B26" s="8" t="s">
        <v>5</v>
      </c>
      <c r="C26" s="8">
        <v>3</v>
      </c>
      <c r="D26" s="8" t="s">
        <v>7</v>
      </c>
      <c r="E26" s="8"/>
      <c r="F26" s="8"/>
      <c r="G26" s="8"/>
      <c r="H26" s="9"/>
    </row>
    <row r="27" spans="1:8" s="18" customFormat="1" x14ac:dyDescent="0.4">
      <c r="A27" s="14"/>
      <c r="B27" s="8" t="s">
        <v>6</v>
      </c>
      <c r="C27" s="8">
        <v>6</v>
      </c>
      <c r="D27" s="8" t="s">
        <v>8</v>
      </c>
      <c r="E27" s="8"/>
      <c r="F27" s="8"/>
      <c r="G27" s="8"/>
      <c r="H27" s="9"/>
    </row>
    <row r="28" spans="1:8" s="18" customFormat="1" x14ac:dyDescent="0.4">
      <c r="A28" s="14"/>
      <c r="B28" s="8" t="s">
        <v>13</v>
      </c>
      <c r="C28" s="8">
        <v>1</v>
      </c>
      <c r="D28" s="8" t="s">
        <v>25</v>
      </c>
      <c r="E28" s="8"/>
      <c r="F28" s="8"/>
      <c r="G28" s="8"/>
      <c r="H28" s="9"/>
    </row>
    <row r="29" spans="1:8" s="18" customFormat="1" x14ac:dyDescent="0.4">
      <c r="A29" s="14"/>
      <c r="B29" s="8" t="s">
        <v>14</v>
      </c>
      <c r="C29" s="8">
        <v>3</v>
      </c>
      <c r="D29" s="8" t="s">
        <v>26</v>
      </c>
      <c r="E29" s="8"/>
      <c r="F29" s="8"/>
      <c r="G29" s="8"/>
      <c r="H29" s="9"/>
    </row>
    <row r="30" spans="1:8" s="18" customFormat="1" x14ac:dyDescent="0.4">
      <c r="A30" s="14"/>
      <c r="B30" s="8" t="s">
        <v>9</v>
      </c>
      <c r="C30" s="8">
        <v>1</v>
      </c>
      <c r="D30" s="8" t="s">
        <v>12</v>
      </c>
      <c r="E30" s="8"/>
      <c r="F30" s="8"/>
      <c r="G30" s="8"/>
      <c r="H30" s="9"/>
    </row>
    <row r="31" spans="1:8" s="18" customFormat="1" x14ac:dyDescent="0.4">
      <c r="A31" s="15" t="s">
        <v>29</v>
      </c>
      <c r="B31" s="10" t="s">
        <v>10</v>
      </c>
      <c r="C31" s="10">
        <v>3</v>
      </c>
      <c r="D31" s="10" t="s">
        <v>11</v>
      </c>
      <c r="E31" s="10"/>
      <c r="F31" s="10"/>
      <c r="G31" s="10"/>
      <c r="H31" s="11"/>
    </row>
    <row r="32" spans="1:8" s="18" customFormat="1" x14ac:dyDescent="0.4">
      <c r="A32" s="13" t="s">
        <v>4</v>
      </c>
      <c r="B32" s="6" t="s">
        <v>17</v>
      </c>
      <c r="C32" s="6"/>
      <c r="D32" s="6" t="s">
        <v>96</v>
      </c>
      <c r="E32" s="6">
        <v>3</v>
      </c>
      <c r="F32" s="6">
        <v>6</v>
      </c>
      <c r="G32" s="6">
        <v>9</v>
      </c>
      <c r="H32" s="7">
        <v>12</v>
      </c>
    </row>
    <row r="33" spans="1:9" s="18" customFormat="1" x14ac:dyDescent="0.4">
      <c r="A33" s="14"/>
      <c r="B33" s="8" t="s">
        <v>20</v>
      </c>
      <c r="C33" s="8"/>
      <c r="D33" s="8" t="s">
        <v>97</v>
      </c>
      <c r="E33" s="8" t="s">
        <v>98</v>
      </c>
      <c r="F33" s="8"/>
      <c r="G33" s="8" t="s">
        <v>99</v>
      </c>
      <c r="H33" s="9"/>
    </row>
    <row r="34" spans="1:9" s="18" customFormat="1" x14ac:dyDescent="0.4">
      <c r="A34" s="14"/>
      <c r="B34" s="8" t="s">
        <v>21</v>
      </c>
      <c r="C34" s="8"/>
      <c r="D34" s="8" t="s">
        <v>100</v>
      </c>
      <c r="E34" s="8" t="s">
        <v>98</v>
      </c>
      <c r="F34" s="8"/>
      <c r="G34" s="8" t="s">
        <v>99</v>
      </c>
      <c r="H34" s="9"/>
    </row>
    <row r="35" spans="1:9" s="18" customFormat="1" x14ac:dyDescent="0.4">
      <c r="A35" s="15"/>
      <c r="B35" s="10" t="s">
        <v>22</v>
      </c>
      <c r="C35" s="10"/>
      <c r="D35" s="10" t="s">
        <v>101</v>
      </c>
      <c r="E35" s="10"/>
      <c r="F35" s="12"/>
      <c r="G35" s="10"/>
      <c r="H35" s="11"/>
      <c r="I35" s="41" t="s">
        <v>102</v>
      </c>
    </row>
    <row r="36" spans="1:9" s="18" customFormat="1" x14ac:dyDescent="0.4">
      <c r="A36" s="15" t="s">
        <v>53</v>
      </c>
      <c r="B36" s="10"/>
      <c r="C36" s="10"/>
      <c r="D36" s="10"/>
      <c r="E36" s="10"/>
      <c r="F36" s="12"/>
      <c r="G36" s="10"/>
      <c r="H36" s="11"/>
    </row>
    <row r="37" spans="1:9" s="18" customFormat="1" x14ac:dyDescent="0.4">
      <c r="A37" s="15"/>
      <c r="B37" s="10"/>
      <c r="C37" s="10"/>
      <c r="D37" s="10"/>
      <c r="E37" s="10"/>
      <c r="F37" s="12"/>
      <c r="G37" s="10"/>
      <c r="H37" s="11"/>
    </row>
    <row r="38" spans="1:9" s="18" customFormat="1" x14ac:dyDescent="0.4">
      <c r="A38" s="15"/>
      <c r="B38" s="10"/>
      <c r="C38" s="10"/>
      <c r="D38" s="10"/>
      <c r="E38" s="10"/>
      <c r="F38" s="12"/>
      <c r="G38" s="10"/>
      <c r="H38" s="11"/>
    </row>
    <row r="39" spans="1:9" s="18" customFormat="1" x14ac:dyDescent="0.4">
      <c r="A39" s="15"/>
      <c r="B39" s="10"/>
      <c r="C39" s="10"/>
      <c r="D39" s="10"/>
      <c r="E39" s="10"/>
      <c r="F39" s="12"/>
      <c r="G39" s="10"/>
      <c r="H39" s="11"/>
    </row>
    <row r="40" spans="1:9" s="18" customFormat="1" x14ac:dyDescent="0.4">
      <c r="A40" s="15"/>
      <c r="B40" s="10"/>
      <c r="C40" s="10"/>
      <c r="D40" s="10"/>
      <c r="E40" s="10"/>
      <c r="F40" s="12"/>
      <c r="G40" s="10"/>
      <c r="H40" s="11"/>
    </row>
    <row r="41" spans="1:9" s="18" customFormat="1" x14ac:dyDescent="0.4">
      <c r="A41" s="15" t="s">
        <v>67</v>
      </c>
      <c r="B41" s="10"/>
      <c r="C41" s="10"/>
      <c r="D41" s="10"/>
      <c r="E41" s="10"/>
      <c r="F41" s="12"/>
      <c r="G41" s="10"/>
      <c r="H41" s="11"/>
    </row>
    <row r="42" spans="1:9" s="18" customFormat="1" x14ac:dyDescent="0.4">
      <c r="A42" s="15"/>
      <c r="B42" s="10"/>
      <c r="C42" s="10"/>
      <c r="D42" s="10"/>
      <c r="E42" s="10"/>
      <c r="F42" s="12"/>
      <c r="G42" s="10"/>
      <c r="H42" s="11"/>
    </row>
    <row r="43" spans="1:9" s="18" customFormat="1" x14ac:dyDescent="0.4">
      <c r="A43" s="15"/>
      <c r="B43" s="10"/>
      <c r="C43" s="10"/>
      <c r="D43" s="10"/>
      <c r="E43" s="10"/>
      <c r="F43" s="12"/>
      <c r="G43" s="10"/>
      <c r="H43" s="11"/>
    </row>
    <row r="44" spans="1:9" s="18" customFormat="1" x14ac:dyDescent="0.4">
      <c r="A44" s="15"/>
      <c r="B44" s="10"/>
      <c r="C44" s="10"/>
      <c r="D44" s="10"/>
      <c r="E44" s="10"/>
      <c r="F44" s="12"/>
      <c r="G44" s="10"/>
      <c r="H44" s="11"/>
    </row>
    <row r="45" spans="1:9" s="18" customFormat="1" x14ac:dyDescent="0.4">
      <c r="A45" s="15"/>
      <c r="B45" s="10"/>
      <c r="C45" s="10"/>
      <c r="D45" s="10"/>
      <c r="E45" s="10"/>
      <c r="F45" s="12"/>
      <c r="G45" s="10"/>
      <c r="H45" s="11"/>
    </row>
    <row r="46" spans="1:9" s="18" customFormat="1" x14ac:dyDescent="0.4">
      <c r="A46" s="15" t="s">
        <v>66</v>
      </c>
      <c r="B46" s="10"/>
      <c r="C46" s="10"/>
      <c r="D46" s="10"/>
      <c r="E46" s="10"/>
      <c r="F46" s="12"/>
      <c r="G46" s="10"/>
      <c r="H46" s="11"/>
    </row>
    <row r="47" spans="1:9" s="18" customFormat="1" x14ac:dyDescent="0.4">
      <c r="A47" s="15"/>
      <c r="B47" s="10"/>
      <c r="C47" s="10"/>
      <c r="D47" s="10"/>
      <c r="E47" s="10"/>
      <c r="F47" s="12"/>
      <c r="G47" s="10"/>
      <c r="H47" s="11"/>
    </row>
    <row r="48" spans="1:9" s="18" customFormat="1" x14ac:dyDescent="0.4">
      <c r="A48" s="15"/>
      <c r="B48" s="10"/>
      <c r="C48" s="10"/>
      <c r="D48" s="10"/>
      <c r="E48" s="10"/>
      <c r="F48" s="12"/>
      <c r="G48" s="10"/>
      <c r="H48" s="11"/>
    </row>
    <row r="49" spans="1:8" s="18" customFormat="1" x14ac:dyDescent="0.4">
      <c r="A49" s="15"/>
      <c r="B49" s="10"/>
      <c r="C49" s="10"/>
      <c r="D49" s="10"/>
      <c r="E49" s="10"/>
      <c r="F49" s="12"/>
      <c r="G49" s="10"/>
      <c r="H49" s="11"/>
    </row>
    <row r="50" spans="1:8" s="18" customFormat="1" x14ac:dyDescent="0.4">
      <c r="A50" s="15"/>
      <c r="B50" s="10"/>
      <c r="C50" s="10"/>
      <c r="D50" s="10"/>
      <c r="E50" s="10"/>
      <c r="F50" s="12"/>
      <c r="G50" s="10"/>
      <c r="H50" s="11"/>
    </row>
    <row r="51" spans="1:8" s="18" customFormat="1" x14ac:dyDescent="0.4">
      <c r="A51" s="3" t="s">
        <v>28</v>
      </c>
      <c r="B51" s="16" t="s">
        <v>32</v>
      </c>
      <c r="C51" s="16"/>
      <c r="D51" s="16"/>
      <c r="E51" s="16"/>
      <c r="F51" s="16"/>
      <c r="G51" s="16"/>
      <c r="H51" s="17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generator"/>
  <dimension ref="A3:L52"/>
  <sheetViews>
    <sheetView topLeftCell="B1" workbookViewId="0">
      <selection activeCell="D3" sqref="D3"/>
    </sheetView>
  </sheetViews>
  <sheetFormatPr defaultRowHeight="17.399999999999999" x14ac:dyDescent="0.4"/>
  <cols>
    <col min="2" max="2" width="11.8984375" bestFit="1" customWidth="1"/>
    <col min="4" max="4" width="41" customWidth="1"/>
    <col min="6" max="8" width="7.19921875" customWidth="1"/>
    <col min="9" max="12" width="8.796875" style="18"/>
  </cols>
  <sheetData>
    <row r="3" spans="1:8" s="18" customFormat="1" x14ac:dyDescent="0.4">
      <c r="A3" s="1" t="s">
        <v>0</v>
      </c>
      <c r="B3"/>
      <c r="C3"/>
      <c r="D3"/>
      <c r="E3"/>
      <c r="F3"/>
      <c r="G3"/>
      <c r="H3"/>
    </row>
    <row r="4" spans="1:8" s="18" customFormat="1" x14ac:dyDescent="0.4">
      <c r="A4" s="1" t="s">
        <v>1</v>
      </c>
      <c r="B4"/>
      <c r="C4"/>
      <c r="D4"/>
      <c r="E4"/>
      <c r="F4"/>
      <c r="G4"/>
      <c r="H4"/>
    </row>
    <row r="5" spans="1:8" x14ac:dyDescent="0.4">
      <c r="A5" t="s">
        <v>104</v>
      </c>
      <c r="B5" s="42">
        <f ca="1">TODAY()</f>
        <v>45450</v>
      </c>
    </row>
    <row r="6" spans="1:8" s="18" customFormat="1" x14ac:dyDescent="0.4">
      <c r="A6" s="2" t="s">
        <v>3</v>
      </c>
      <c r="B6" s="4"/>
      <c r="C6" s="4"/>
      <c r="D6" s="4"/>
      <c r="E6" s="4" t="s">
        <v>18</v>
      </c>
      <c r="F6" s="4" t="s">
        <v>19</v>
      </c>
      <c r="G6" s="4"/>
      <c r="H6" s="5"/>
    </row>
    <row r="7" spans="1:8" s="18" customFormat="1" x14ac:dyDescent="0.4">
      <c r="A7" s="13" t="s">
        <v>15</v>
      </c>
      <c r="B7" s="6" t="s">
        <v>91</v>
      </c>
      <c r="C7" s="6">
        <f>MATCH("project",A:A,0)</f>
        <v>26</v>
      </c>
      <c r="D7" s="18" t="s">
        <v>130</v>
      </c>
      <c r="E7" s="6"/>
      <c r="F7" s="6"/>
      <c r="G7" s="6"/>
      <c r="H7" s="7"/>
    </row>
    <row r="8" spans="1:8" s="18" customFormat="1" x14ac:dyDescent="0.4">
      <c r="A8" s="14"/>
      <c r="B8" s="8" t="s">
        <v>92</v>
      </c>
      <c r="C8" s="8">
        <f>MATCH("last",A:A,0)-MATCH("Global",A:A,0)+1</f>
        <v>46</v>
      </c>
      <c r="D8" s="18" t="s">
        <v>131</v>
      </c>
      <c r="E8" s="8"/>
      <c r="F8" s="8"/>
      <c r="G8" s="8"/>
      <c r="H8" s="9"/>
    </row>
    <row r="9" spans="1:8" s="18" customFormat="1" x14ac:dyDescent="0.4">
      <c r="A9" s="14"/>
      <c r="B9" s="8" t="s">
        <v>93</v>
      </c>
      <c r="C9" s="8">
        <v>36</v>
      </c>
      <c r="D9" s="8" t="s">
        <v>27</v>
      </c>
      <c r="E9" s="8"/>
      <c r="F9" s="8"/>
      <c r="G9" s="8"/>
      <c r="H9" s="9"/>
    </row>
    <row r="10" spans="1:8" s="18" customFormat="1" x14ac:dyDescent="0.4">
      <c r="A10" s="14"/>
      <c r="B10" s="8" t="s">
        <v>31</v>
      </c>
      <c r="C10" s="8">
        <f>MATCH("project_end",A:A,0)-MATCH("project",A:A,0)+1</f>
        <v>7</v>
      </c>
      <c r="D10" s="8" t="s">
        <v>30</v>
      </c>
      <c r="E10" s="8"/>
      <c r="F10" s="8"/>
      <c r="G10" s="8"/>
      <c r="H10" s="9"/>
    </row>
    <row r="11" spans="1:8" s="18" customFormat="1" x14ac:dyDescent="0.4">
      <c r="A11" s="14"/>
      <c r="B11" s="8" t="s">
        <v>70</v>
      </c>
      <c r="C11" s="8">
        <v>13</v>
      </c>
      <c r="D11" s="8" t="s">
        <v>54</v>
      </c>
      <c r="E11" s="8"/>
      <c r="F11" s="8"/>
      <c r="G11" s="8"/>
      <c r="H11" s="9"/>
    </row>
    <row r="12" spans="1:8" s="18" customFormat="1" x14ac:dyDescent="0.4">
      <c r="A12" s="14"/>
      <c r="B12" s="8" t="s">
        <v>71</v>
      </c>
      <c r="C12" s="8">
        <v>21</v>
      </c>
      <c r="D12" s="8" t="s">
        <v>55</v>
      </c>
      <c r="E12" s="8"/>
      <c r="F12" s="8"/>
      <c r="G12" s="8"/>
      <c r="H12" s="9"/>
    </row>
    <row r="13" spans="1:8" s="18" customFormat="1" x14ac:dyDescent="0.4">
      <c r="A13" s="14"/>
      <c r="B13" s="8" t="s">
        <v>72</v>
      </c>
      <c r="C13" s="34">
        <v>6</v>
      </c>
      <c r="D13" s="8" t="s">
        <v>56</v>
      </c>
      <c r="E13" s="8"/>
      <c r="F13" s="8"/>
      <c r="G13" s="8"/>
      <c r="H13" s="9"/>
    </row>
    <row r="14" spans="1:8" s="18" customFormat="1" x14ac:dyDescent="0.4">
      <c r="A14" s="14"/>
      <c r="B14" s="34" t="s">
        <v>73</v>
      </c>
      <c r="C14" s="34">
        <v>3</v>
      </c>
      <c r="D14" s="34" t="s">
        <v>68</v>
      </c>
      <c r="E14" s="8"/>
      <c r="F14" s="8"/>
      <c r="G14" s="8"/>
      <c r="H14" s="9"/>
    </row>
    <row r="15" spans="1:8" s="18" customFormat="1" x14ac:dyDescent="0.4">
      <c r="A15" s="14"/>
      <c r="B15" s="34" t="s">
        <v>74</v>
      </c>
      <c r="C15" s="34">
        <v>1000</v>
      </c>
      <c r="D15" s="34" t="s">
        <v>69</v>
      </c>
      <c r="E15" s="8"/>
      <c r="F15" s="8"/>
      <c r="G15" s="8"/>
      <c r="H15" s="9"/>
    </row>
    <row r="16" spans="1:8" s="18" customFormat="1" x14ac:dyDescent="0.4">
      <c r="A16" s="14"/>
      <c r="B16" s="34" t="s">
        <v>112</v>
      </c>
      <c r="C16" s="34">
        <v>4</v>
      </c>
      <c r="D16" s="34" t="s">
        <v>111</v>
      </c>
      <c r="E16" s="8"/>
      <c r="F16" s="8"/>
      <c r="G16" s="8"/>
      <c r="H16" s="9"/>
    </row>
    <row r="17" spans="1:8" s="18" customFormat="1" x14ac:dyDescent="0.4">
      <c r="A17" s="14"/>
      <c r="B17" s="38" t="s">
        <v>85</v>
      </c>
      <c r="C17" s="6">
        <v>0.6</v>
      </c>
      <c r="D17" s="37" t="s">
        <v>108</v>
      </c>
      <c r="E17" s="8"/>
      <c r="F17" s="8"/>
      <c r="G17" s="8"/>
      <c r="H17" s="9"/>
    </row>
    <row r="18" spans="1:8" s="18" customFormat="1" x14ac:dyDescent="0.4">
      <c r="A18" s="14"/>
      <c r="B18" s="38" t="s">
        <v>86</v>
      </c>
      <c r="C18" s="8">
        <v>0.25</v>
      </c>
      <c r="D18" s="36" t="s">
        <v>109</v>
      </c>
      <c r="E18" s="8"/>
      <c r="F18" s="8"/>
      <c r="G18" s="8"/>
      <c r="H18" s="9"/>
    </row>
    <row r="19" spans="1:8" s="18" customFormat="1" x14ac:dyDescent="0.4">
      <c r="A19" s="14"/>
      <c r="B19" s="38" t="s">
        <v>87</v>
      </c>
      <c r="C19" s="8">
        <v>0.17499999999999999</v>
      </c>
      <c r="D19" s="37" t="s">
        <v>110</v>
      </c>
      <c r="E19" s="8"/>
      <c r="F19" s="8"/>
      <c r="G19" s="8"/>
      <c r="H19" s="9"/>
    </row>
    <row r="20" spans="1:8" s="18" customFormat="1" x14ac:dyDescent="0.4">
      <c r="A20" s="14"/>
      <c r="B20" s="8" t="s">
        <v>106</v>
      </c>
      <c r="C20" s="34">
        <v>100</v>
      </c>
      <c r="D20" s="8" t="s">
        <v>107</v>
      </c>
      <c r="E20" s="8"/>
      <c r="F20" s="8"/>
      <c r="G20" s="8"/>
      <c r="H20" s="9"/>
    </row>
    <row r="21" spans="1:8" s="18" customFormat="1" x14ac:dyDescent="0.4">
      <c r="A21" s="14"/>
      <c r="B21" s="8"/>
      <c r="C21" s="8"/>
      <c r="D21" s="8"/>
      <c r="E21" s="8"/>
      <c r="F21" s="8"/>
      <c r="G21" s="8"/>
      <c r="H21" s="9"/>
    </row>
    <row r="22" spans="1:8" s="18" customFormat="1" x14ac:dyDescent="0.4">
      <c r="A22" s="15"/>
      <c r="B22" s="10"/>
      <c r="C22" s="10"/>
      <c r="D22" s="10"/>
      <c r="E22" s="10"/>
      <c r="F22" s="10"/>
      <c r="G22" s="10"/>
      <c r="H22" s="11"/>
    </row>
    <row r="23" spans="1:8" s="18" customFormat="1" x14ac:dyDescent="0.4">
      <c r="A23" s="13"/>
      <c r="B23"/>
      <c r="C23" s="6"/>
      <c r="D23" s="37"/>
      <c r="E23" s="6"/>
      <c r="F23" s="6"/>
      <c r="G23" s="6"/>
      <c r="H23" s="7"/>
    </row>
    <row r="24" spans="1:8" s="18" customFormat="1" x14ac:dyDescent="0.4">
      <c r="A24" s="14"/>
      <c r="B24"/>
      <c r="C24" s="8"/>
      <c r="D24" s="36"/>
      <c r="E24" s="8"/>
      <c r="F24" s="8"/>
      <c r="G24" s="8"/>
      <c r="H24" s="9"/>
    </row>
    <row r="25" spans="1:8" s="18" customFormat="1" x14ac:dyDescent="0.4">
      <c r="A25" s="14"/>
      <c r="B25"/>
      <c r="C25" s="8"/>
      <c r="D25" s="35"/>
      <c r="E25" s="8"/>
      <c r="F25" s="8"/>
      <c r="G25" s="8"/>
      <c r="H25" s="9"/>
    </row>
    <row r="26" spans="1:8" s="18" customFormat="1" x14ac:dyDescent="0.4">
      <c r="A26" s="13" t="s">
        <v>2</v>
      </c>
      <c r="B26" s="6" t="s">
        <v>23</v>
      </c>
      <c r="C26" s="6">
        <v>3</v>
      </c>
      <c r="D26" s="6" t="s">
        <v>105</v>
      </c>
      <c r="E26" s="8"/>
      <c r="F26" s="8"/>
      <c r="G26" s="8"/>
      <c r="H26" s="9"/>
    </row>
    <row r="27" spans="1:8" s="18" customFormat="1" x14ac:dyDescent="0.4">
      <c r="A27" s="14"/>
      <c r="B27" s="8" t="s">
        <v>5</v>
      </c>
      <c r="C27" s="8">
        <v>3</v>
      </c>
      <c r="D27" s="8" t="s">
        <v>7</v>
      </c>
      <c r="E27" s="8"/>
      <c r="F27" s="8"/>
      <c r="G27" s="8"/>
      <c r="H27" s="9"/>
    </row>
    <row r="28" spans="1:8" s="18" customFormat="1" x14ac:dyDescent="0.4">
      <c r="A28" s="14"/>
      <c r="B28" s="8" t="s">
        <v>6</v>
      </c>
      <c r="C28" s="8">
        <v>6</v>
      </c>
      <c r="D28" s="8" t="s">
        <v>8</v>
      </c>
      <c r="E28" s="8"/>
      <c r="F28" s="8"/>
      <c r="G28" s="8"/>
      <c r="H28" s="9"/>
    </row>
    <row r="29" spans="1:8" s="18" customFormat="1" x14ac:dyDescent="0.4">
      <c r="A29" s="14"/>
      <c r="B29" s="8" t="s">
        <v>13</v>
      </c>
      <c r="C29" s="8">
        <v>1</v>
      </c>
      <c r="D29" s="8" t="s">
        <v>25</v>
      </c>
      <c r="E29" s="8"/>
      <c r="F29" s="8"/>
      <c r="G29" s="8"/>
      <c r="H29" s="9"/>
    </row>
    <row r="30" spans="1:8" s="18" customFormat="1" x14ac:dyDescent="0.4">
      <c r="A30" s="14"/>
      <c r="B30" s="8" t="s">
        <v>14</v>
      </c>
      <c r="C30" s="8">
        <v>3</v>
      </c>
      <c r="D30" s="8" t="s">
        <v>26</v>
      </c>
      <c r="E30" s="8"/>
      <c r="F30" s="8"/>
      <c r="G30" s="8"/>
      <c r="H30" s="9"/>
    </row>
    <row r="31" spans="1:8" s="18" customFormat="1" x14ac:dyDescent="0.4">
      <c r="A31" s="14"/>
      <c r="B31" s="8" t="s">
        <v>9</v>
      </c>
      <c r="C31" s="8">
        <v>1</v>
      </c>
      <c r="D31" s="8" t="s">
        <v>12</v>
      </c>
      <c r="E31" s="8"/>
      <c r="F31" s="8"/>
      <c r="G31" s="8"/>
      <c r="H31" s="9"/>
    </row>
    <row r="32" spans="1:8" s="18" customFormat="1" x14ac:dyDescent="0.4">
      <c r="A32" s="15" t="s">
        <v>29</v>
      </c>
      <c r="B32" s="10" t="s">
        <v>10</v>
      </c>
      <c r="C32" s="10">
        <v>3</v>
      </c>
      <c r="D32" s="10" t="s">
        <v>11</v>
      </c>
      <c r="E32" s="10"/>
      <c r="F32" s="10"/>
      <c r="G32" s="10"/>
      <c r="H32" s="11"/>
    </row>
    <row r="33" spans="1:8" s="18" customFormat="1" x14ac:dyDescent="0.4">
      <c r="A33" s="13" t="s">
        <v>4</v>
      </c>
      <c r="B33" s="6" t="s">
        <v>17</v>
      </c>
      <c r="C33" s="6"/>
      <c r="D33" s="6" t="s">
        <v>16</v>
      </c>
      <c r="E33" s="6">
        <v>3</v>
      </c>
      <c r="F33" s="6">
        <v>6</v>
      </c>
      <c r="G33" s="6">
        <v>9</v>
      </c>
      <c r="H33" s="7">
        <v>12</v>
      </c>
    </row>
    <row r="34" spans="1:8" s="18" customFormat="1" x14ac:dyDescent="0.4">
      <c r="A34" s="14"/>
      <c r="B34" s="8" t="s">
        <v>20</v>
      </c>
      <c r="C34" s="8"/>
      <c r="D34" s="43" t="s">
        <v>97</v>
      </c>
      <c r="E34" s="8">
        <v>3</v>
      </c>
      <c r="F34" s="8">
        <v>1</v>
      </c>
      <c r="G34" s="8">
        <v>2</v>
      </c>
      <c r="H34" s="9">
        <v>3</v>
      </c>
    </row>
    <row r="35" spans="1:8" s="18" customFormat="1" x14ac:dyDescent="0.4">
      <c r="A35" s="14"/>
      <c r="B35" s="8" t="s">
        <v>21</v>
      </c>
      <c r="C35" s="8"/>
      <c r="D35" s="43" t="s">
        <v>100</v>
      </c>
      <c r="E35" s="8">
        <v>3</v>
      </c>
      <c r="F35" s="8">
        <v>70</v>
      </c>
      <c r="G35" s="8">
        <v>60</v>
      </c>
      <c r="H35" s="9">
        <v>50</v>
      </c>
    </row>
    <row r="36" spans="1:8" s="18" customFormat="1" x14ac:dyDescent="0.4">
      <c r="A36" s="15"/>
      <c r="B36" s="10" t="s">
        <v>22</v>
      </c>
      <c r="C36" s="10"/>
      <c r="D36" s="10" t="s">
        <v>101</v>
      </c>
      <c r="E36" s="10">
        <v>3</v>
      </c>
      <c r="F36" s="12" t="s">
        <v>24</v>
      </c>
      <c r="G36" s="10"/>
      <c r="H36" s="11"/>
    </row>
    <row r="37" spans="1:8" s="18" customFormat="1" x14ac:dyDescent="0.4">
      <c r="A37" s="15" t="s">
        <v>53</v>
      </c>
      <c r="B37" s="10"/>
      <c r="C37" s="10"/>
      <c r="D37" s="10"/>
      <c r="E37" s="10"/>
      <c r="F37" s="12"/>
      <c r="G37" s="10"/>
      <c r="H37" s="11"/>
    </row>
    <row r="38" spans="1:8" s="18" customFormat="1" x14ac:dyDescent="0.4">
      <c r="A38" s="15"/>
      <c r="B38" s="10"/>
      <c r="C38" s="10"/>
      <c r="D38" s="10"/>
      <c r="E38" s="10"/>
      <c r="F38" s="12"/>
      <c r="G38" s="10"/>
      <c r="H38" s="11"/>
    </row>
    <row r="39" spans="1:8" s="18" customFormat="1" x14ac:dyDescent="0.4">
      <c r="A39" s="15"/>
      <c r="B39" s="10"/>
      <c r="C39" s="10"/>
      <c r="D39" s="10"/>
      <c r="E39" s="10"/>
      <c r="F39" s="12"/>
      <c r="G39" s="10"/>
      <c r="H39" s="11"/>
    </row>
    <row r="40" spans="1:8" s="18" customFormat="1" x14ac:dyDescent="0.4">
      <c r="A40" s="15"/>
      <c r="B40" s="10"/>
      <c r="C40" s="10"/>
      <c r="D40" s="10"/>
      <c r="E40" s="10"/>
      <c r="F40" s="12"/>
      <c r="G40" s="10"/>
      <c r="H40" s="11"/>
    </row>
    <row r="41" spans="1:8" s="18" customFormat="1" x14ac:dyDescent="0.4">
      <c r="A41" s="15"/>
      <c r="B41" s="10"/>
      <c r="C41" s="10"/>
      <c r="D41" s="10"/>
      <c r="E41" s="10"/>
      <c r="F41" s="12"/>
      <c r="G41" s="10"/>
      <c r="H41" s="11"/>
    </row>
    <row r="42" spans="1:8" s="18" customFormat="1" x14ac:dyDescent="0.4">
      <c r="A42" s="15" t="s">
        <v>67</v>
      </c>
      <c r="B42" s="10"/>
      <c r="C42" s="10"/>
      <c r="D42" s="10"/>
      <c r="E42" s="10"/>
      <c r="F42" s="12"/>
      <c r="G42" s="10"/>
      <c r="H42" s="11"/>
    </row>
    <row r="43" spans="1:8" s="18" customFormat="1" x14ac:dyDescent="0.4">
      <c r="A43" s="15"/>
      <c r="B43" s="10"/>
      <c r="C43" s="10"/>
      <c r="D43" s="10"/>
      <c r="E43" s="10"/>
      <c r="F43" s="12"/>
      <c r="G43" s="10"/>
      <c r="H43" s="11"/>
    </row>
    <row r="44" spans="1:8" s="18" customFormat="1" x14ac:dyDescent="0.4">
      <c r="A44" s="15"/>
      <c r="B44" s="10"/>
      <c r="C44" s="10"/>
      <c r="D44" s="10"/>
      <c r="E44" s="10"/>
      <c r="F44" s="12"/>
      <c r="G44" s="10"/>
      <c r="H44" s="11"/>
    </row>
    <row r="45" spans="1:8" s="18" customFormat="1" x14ac:dyDescent="0.4">
      <c r="A45" s="15"/>
      <c r="B45" s="10"/>
      <c r="C45" s="10"/>
      <c r="D45" s="10"/>
      <c r="E45" s="10"/>
      <c r="F45" s="12"/>
      <c r="G45" s="10"/>
      <c r="H45" s="11"/>
    </row>
    <row r="46" spans="1:8" s="18" customFormat="1" x14ac:dyDescent="0.4">
      <c r="A46" s="15"/>
      <c r="B46" s="10"/>
      <c r="C46" s="10"/>
      <c r="D46" s="10"/>
      <c r="E46" s="10"/>
      <c r="F46" s="12"/>
      <c r="G46" s="10"/>
      <c r="H46" s="11"/>
    </row>
    <row r="47" spans="1:8" s="18" customFormat="1" x14ac:dyDescent="0.4">
      <c r="A47" s="15" t="s">
        <v>66</v>
      </c>
      <c r="B47" s="10"/>
      <c r="C47" s="10"/>
      <c r="D47" s="10"/>
      <c r="E47" s="10"/>
      <c r="F47" s="12"/>
      <c r="G47" s="10"/>
      <c r="H47" s="11"/>
    </row>
    <row r="48" spans="1:8" s="18" customFormat="1" x14ac:dyDescent="0.4">
      <c r="A48" s="15"/>
      <c r="B48" s="10"/>
      <c r="C48" s="10"/>
      <c r="D48" s="10"/>
      <c r="E48" s="10"/>
      <c r="F48" s="12"/>
      <c r="G48" s="10"/>
      <c r="H48" s="11"/>
    </row>
    <row r="49" spans="1:8" s="18" customFormat="1" x14ac:dyDescent="0.4">
      <c r="A49" s="15"/>
      <c r="B49" s="10"/>
      <c r="C49" s="10"/>
      <c r="D49" s="10"/>
      <c r="E49" s="10"/>
      <c r="F49" s="12"/>
      <c r="G49" s="10"/>
      <c r="H49" s="11"/>
    </row>
    <row r="50" spans="1:8" s="18" customFormat="1" x14ac:dyDescent="0.4">
      <c r="A50" s="15"/>
      <c r="B50" s="10"/>
      <c r="C50" s="10"/>
      <c r="D50" s="10"/>
      <c r="E50" s="10"/>
      <c r="F50" s="12"/>
      <c r="G50" s="10"/>
      <c r="H50" s="11"/>
    </row>
    <row r="51" spans="1:8" s="18" customFormat="1" x14ac:dyDescent="0.4">
      <c r="A51" s="15"/>
      <c r="B51" s="10"/>
      <c r="C51" s="10"/>
      <c r="D51" s="10"/>
      <c r="E51" s="10"/>
      <c r="F51" s="12"/>
      <c r="G51" s="10"/>
      <c r="H51" s="11"/>
    </row>
    <row r="52" spans="1:8" s="18" customFormat="1" x14ac:dyDescent="0.4">
      <c r="A52" s="3" t="s">
        <v>28</v>
      </c>
      <c r="B52" s="16" t="s">
        <v>32</v>
      </c>
      <c r="C52" s="16"/>
      <c r="D52" s="16"/>
      <c r="E52" s="16"/>
      <c r="F52" s="16"/>
      <c r="G52" s="16"/>
      <c r="H52" s="17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Generation">
          <controlPr defaultSize="0" autoLine="0" r:id="rId5">
            <anchor moveWithCells="1">
              <from>
                <xdr:col>1</xdr:col>
                <xdr:colOff>403860</xdr:colOff>
                <xdr:row>0</xdr:row>
                <xdr:rowOff>76200</xdr:rowOff>
              </from>
              <to>
                <xdr:col>2</xdr:col>
                <xdr:colOff>541020</xdr:colOff>
                <xdr:row>1</xdr:row>
                <xdr:rowOff>121920</xdr:rowOff>
              </to>
            </anchor>
          </controlPr>
        </control>
      </mc:Choice>
      <mc:Fallback>
        <control shapeId="1025" r:id="rId4" name="Gener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014EA-CC29-4A29-AE91-2813635BC48E}">
  <sheetPr codeName="project"/>
  <dimension ref="A1:G640"/>
  <sheetViews>
    <sheetView zoomScale="160" zoomScaleNormal="160" workbookViewId="0">
      <selection activeCell="C7" sqref="C7"/>
    </sheetView>
  </sheetViews>
  <sheetFormatPr defaultRowHeight="17.399999999999999" x14ac:dyDescent="0.4"/>
  <cols>
    <col min="1" max="16384" width="8.796875" style="8"/>
  </cols>
  <sheetData>
    <row r="1" spans="1:7" x14ac:dyDescent="0.4">
      <c r="A1">
        <v>64</v>
      </c>
      <c r="B1" t="s">
        <v>135</v>
      </c>
      <c r="C1" t="s">
        <v>136</v>
      </c>
      <c r="D1" t="s">
        <v>137</v>
      </c>
      <c r="E1" t="s">
        <v>138</v>
      </c>
      <c r="F1" t="s">
        <v>139</v>
      </c>
      <c r="G1" t="s">
        <v>140</v>
      </c>
    </row>
    <row r="2" spans="1:7" x14ac:dyDescent="0.4">
      <c r="A2" t="s">
        <v>147</v>
      </c>
      <c r="B2">
        <v>1</v>
      </c>
      <c r="C2"/>
      <c r="D2"/>
      <c r="E2"/>
      <c r="F2"/>
      <c r="G2"/>
    </row>
    <row r="3" spans="1:7" x14ac:dyDescent="0.4">
      <c r="A3" t="s">
        <v>133</v>
      </c>
      <c r="B3">
        <v>10</v>
      </c>
      <c r="C3"/>
      <c r="D3"/>
      <c r="E3"/>
      <c r="F3"/>
      <c r="G3"/>
    </row>
    <row r="4" spans="1:7" x14ac:dyDescent="0.4">
      <c r="A4" t="s">
        <v>134</v>
      </c>
      <c r="B4">
        <v>4</v>
      </c>
      <c r="C4"/>
      <c r="D4"/>
      <c r="E4"/>
      <c r="F4"/>
      <c r="G4"/>
    </row>
    <row r="5" spans="1:7" x14ac:dyDescent="0.4">
      <c r="A5" t="s">
        <v>141</v>
      </c>
      <c r="B5">
        <v>3</v>
      </c>
      <c r="C5">
        <v>0</v>
      </c>
      <c r="D5">
        <v>3</v>
      </c>
      <c r="E5">
        <v>0</v>
      </c>
      <c r="F5">
        <v>1</v>
      </c>
      <c r="G5">
        <v>0</v>
      </c>
    </row>
    <row r="6" spans="1:7" x14ac:dyDescent="0.4">
      <c r="A6" t="s">
        <v>142</v>
      </c>
      <c r="B6">
        <v>1</v>
      </c>
      <c r="C6">
        <v>0</v>
      </c>
      <c r="D6">
        <v>1</v>
      </c>
      <c r="E6">
        <v>0</v>
      </c>
      <c r="F6">
        <v>1</v>
      </c>
      <c r="G6">
        <v>0</v>
      </c>
    </row>
    <row r="7" spans="1:7" x14ac:dyDescent="0.4">
      <c r="A7" t="s">
        <v>143</v>
      </c>
      <c r="B7">
        <v>3</v>
      </c>
      <c r="C7">
        <v>0</v>
      </c>
      <c r="D7">
        <v>3</v>
      </c>
      <c r="E7">
        <v>1</v>
      </c>
      <c r="F7">
        <v>0</v>
      </c>
      <c r="G7">
        <v>0</v>
      </c>
    </row>
    <row r="8" spans="1:7" x14ac:dyDescent="0.4">
      <c r="A8" t="s">
        <v>144</v>
      </c>
      <c r="B8">
        <v>3</v>
      </c>
      <c r="C8">
        <v>0</v>
      </c>
      <c r="D8">
        <v>3</v>
      </c>
      <c r="E8">
        <v>0</v>
      </c>
      <c r="F8">
        <v>0</v>
      </c>
      <c r="G8">
        <v>1</v>
      </c>
    </row>
    <row r="9" spans="1:7" x14ac:dyDescent="0.4">
      <c r="A9" t="s">
        <v>145</v>
      </c>
      <c r="B9"/>
      <c r="C9"/>
      <c r="D9"/>
      <c r="E9"/>
      <c r="F9"/>
      <c r="G9"/>
    </row>
    <row r="10" spans="1:7" x14ac:dyDescent="0.4">
      <c r="A10" t="s">
        <v>146</v>
      </c>
      <c r="B10"/>
      <c r="C10"/>
      <c r="D10"/>
      <c r="E10"/>
      <c r="F10"/>
      <c r="G10"/>
    </row>
    <row r="11" spans="1:7" x14ac:dyDescent="0.4">
      <c r="A11" t="s">
        <v>147</v>
      </c>
      <c r="B11">
        <v>2</v>
      </c>
      <c r="C11"/>
      <c r="D11"/>
      <c r="E11"/>
      <c r="F11"/>
      <c r="G11"/>
    </row>
    <row r="12" spans="1:7" x14ac:dyDescent="0.4">
      <c r="A12" t="s">
        <v>133</v>
      </c>
      <c r="B12">
        <v>14</v>
      </c>
      <c r="C12"/>
      <c r="D12"/>
      <c r="E12"/>
      <c r="F12"/>
      <c r="G12"/>
    </row>
    <row r="13" spans="1:7" x14ac:dyDescent="0.4">
      <c r="A13" t="s">
        <v>134</v>
      </c>
      <c r="B13">
        <v>4</v>
      </c>
      <c r="C13"/>
      <c r="D13"/>
      <c r="E13"/>
      <c r="F13"/>
      <c r="G13"/>
    </row>
    <row r="14" spans="1:7" x14ac:dyDescent="0.4">
      <c r="A14" t="s">
        <v>141</v>
      </c>
      <c r="B14">
        <v>4</v>
      </c>
      <c r="C14">
        <v>0</v>
      </c>
      <c r="D14">
        <v>4</v>
      </c>
      <c r="E14">
        <v>1</v>
      </c>
      <c r="F14">
        <v>0</v>
      </c>
      <c r="G14">
        <v>0</v>
      </c>
    </row>
    <row r="15" spans="1:7" x14ac:dyDescent="0.4">
      <c r="A15" t="s">
        <v>142</v>
      </c>
      <c r="B15">
        <v>4</v>
      </c>
      <c r="C15">
        <v>4</v>
      </c>
      <c r="D15">
        <v>8</v>
      </c>
      <c r="E15">
        <v>0</v>
      </c>
      <c r="F15">
        <v>1</v>
      </c>
      <c r="G15">
        <v>0</v>
      </c>
    </row>
    <row r="16" spans="1:7" x14ac:dyDescent="0.4">
      <c r="A16" t="s">
        <v>143</v>
      </c>
      <c r="B16">
        <v>3</v>
      </c>
      <c r="C16">
        <v>8</v>
      </c>
      <c r="D16">
        <v>11</v>
      </c>
      <c r="E16">
        <v>1</v>
      </c>
      <c r="F16">
        <v>0</v>
      </c>
      <c r="G16">
        <v>0</v>
      </c>
    </row>
    <row r="17" spans="1:7" x14ac:dyDescent="0.4">
      <c r="A17" t="s">
        <v>144</v>
      </c>
      <c r="B17">
        <v>3</v>
      </c>
      <c r="C17">
        <v>0</v>
      </c>
      <c r="D17">
        <v>3</v>
      </c>
      <c r="E17">
        <v>0</v>
      </c>
      <c r="F17">
        <v>0</v>
      </c>
      <c r="G17">
        <v>1</v>
      </c>
    </row>
    <row r="18" spans="1:7" x14ac:dyDescent="0.4">
      <c r="A18" t="s">
        <v>145</v>
      </c>
      <c r="B18"/>
      <c r="C18"/>
      <c r="D18"/>
      <c r="E18"/>
      <c r="F18"/>
      <c r="G18"/>
    </row>
    <row r="19" spans="1:7" x14ac:dyDescent="0.4">
      <c r="A19" t="s">
        <v>146</v>
      </c>
      <c r="B19"/>
      <c r="C19"/>
      <c r="D19"/>
      <c r="E19"/>
      <c r="F19"/>
      <c r="G19"/>
    </row>
    <row r="20" spans="1:7" x14ac:dyDescent="0.4">
      <c r="A20" t="s">
        <v>147</v>
      </c>
      <c r="B20">
        <v>3</v>
      </c>
      <c r="C20"/>
      <c r="D20"/>
      <c r="E20"/>
      <c r="F20"/>
      <c r="G20"/>
    </row>
    <row r="21" spans="1:7" x14ac:dyDescent="0.4">
      <c r="A21" t="s">
        <v>133</v>
      </c>
      <c r="B21">
        <v>3</v>
      </c>
      <c r="C21"/>
      <c r="D21"/>
      <c r="E21"/>
      <c r="F21"/>
      <c r="G21"/>
    </row>
    <row r="22" spans="1:7" x14ac:dyDescent="0.4">
      <c r="A22" t="s">
        <v>134</v>
      </c>
      <c r="B22">
        <v>1</v>
      </c>
      <c r="C22"/>
      <c r="D22"/>
      <c r="E22"/>
      <c r="F22"/>
      <c r="G22"/>
    </row>
    <row r="23" spans="1:7" x14ac:dyDescent="0.4">
      <c r="A23" t="s">
        <v>141</v>
      </c>
      <c r="B23">
        <v>3</v>
      </c>
      <c r="C23">
        <v>0</v>
      </c>
      <c r="D23">
        <v>3</v>
      </c>
      <c r="E23">
        <v>0</v>
      </c>
      <c r="F23">
        <v>0</v>
      </c>
      <c r="G23">
        <v>1</v>
      </c>
    </row>
    <row r="24" spans="1:7" x14ac:dyDescent="0.4">
      <c r="A24" t="s">
        <v>142</v>
      </c>
      <c r="B24"/>
      <c r="C24"/>
      <c r="D24"/>
      <c r="E24"/>
      <c r="F24"/>
      <c r="G24"/>
    </row>
    <row r="25" spans="1:7" x14ac:dyDescent="0.4">
      <c r="A25" t="s">
        <v>143</v>
      </c>
      <c r="B25"/>
      <c r="C25"/>
      <c r="D25"/>
      <c r="E25"/>
      <c r="F25"/>
      <c r="G25"/>
    </row>
    <row r="26" spans="1:7" x14ac:dyDescent="0.4">
      <c r="A26" t="s">
        <v>144</v>
      </c>
      <c r="B26"/>
      <c r="C26"/>
      <c r="D26"/>
      <c r="E26"/>
      <c r="F26"/>
      <c r="G26"/>
    </row>
    <row r="27" spans="1:7" x14ac:dyDescent="0.4">
      <c r="A27" t="s">
        <v>145</v>
      </c>
      <c r="B27"/>
      <c r="C27"/>
      <c r="D27"/>
      <c r="E27"/>
      <c r="F27"/>
      <c r="G27"/>
    </row>
    <row r="28" spans="1:7" x14ac:dyDescent="0.4">
      <c r="A28" t="s">
        <v>146</v>
      </c>
      <c r="B28"/>
      <c r="C28"/>
      <c r="D28"/>
      <c r="E28"/>
      <c r="F28"/>
      <c r="G28"/>
    </row>
    <row r="29" spans="1:7" x14ac:dyDescent="0.4">
      <c r="A29" t="s">
        <v>147</v>
      </c>
      <c r="B29">
        <v>4</v>
      </c>
      <c r="C29"/>
      <c r="D29"/>
      <c r="E29"/>
      <c r="F29"/>
      <c r="G29"/>
    </row>
    <row r="30" spans="1:7" x14ac:dyDescent="0.4">
      <c r="A30" t="s">
        <v>133</v>
      </c>
      <c r="B30">
        <v>3</v>
      </c>
      <c r="C30"/>
      <c r="D30"/>
      <c r="E30"/>
      <c r="F30"/>
      <c r="G30"/>
    </row>
    <row r="31" spans="1:7" x14ac:dyDescent="0.4">
      <c r="A31" t="s">
        <v>134</v>
      </c>
      <c r="B31">
        <v>2</v>
      </c>
      <c r="C31"/>
      <c r="D31"/>
      <c r="E31"/>
      <c r="F31"/>
      <c r="G31"/>
    </row>
    <row r="32" spans="1:7" x14ac:dyDescent="0.4">
      <c r="A32" t="s">
        <v>141</v>
      </c>
      <c r="B32">
        <v>1</v>
      </c>
      <c r="C32">
        <v>0</v>
      </c>
      <c r="D32">
        <v>1</v>
      </c>
      <c r="E32">
        <v>1</v>
      </c>
      <c r="F32">
        <v>0</v>
      </c>
      <c r="G32">
        <v>0</v>
      </c>
    </row>
    <row r="33" spans="1:7" x14ac:dyDescent="0.4">
      <c r="A33" t="s">
        <v>142</v>
      </c>
      <c r="B33">
        <v>2</v>
      </c>
      <c r="C33">
        <v>0</v>
      </c>
      <c r="D33">
        <v>2</v>
      </c>
      <c r="E33">
        <v>0</v>
      </c>
      <c r="F33">
        <v>1</v>
      </c>
      <c r="G33">
        <v>0</v>
      </c>
    </row>
    <row r="34" spans="1:7" x14ac:dyDescent="0.4">
      <c r="A34" t="s">
        <v>143</v>
      </c>
      <c r="B34"/>
      <c r="C34"/>
      <c r="D34"/>
      <c r="E34"/>
      <c r="F34"/>
      <c r="G34"/>
    </row>
    <row r="35" spans="1:7" x14ac:dyDescent="0.4">
      <c r="A35" t="s">
        <v>144</v>
      </c>
      <c r="B35"/>
      <c r="C35"/>
      <c r="D35"/>
      <c r="E35"/>
      <c r="F35"/>
      <c r="G35"/>
    </row>
    <row r="36" spans="1:7" x14ac:dyDescent="0.4">
      <c r="A36" t="s">
        <v>145</v>
      </c>
      <c r="B36"/>
      <c r="C36"/>
      <c r="D36"/>
      <c r="E36"/>
      <c r="F36"/>
      <c r="G36"/>
    </row>
    <row r="37" spans="1:7" x14ac:dyDescent="0.4">
      <c r="A37" t="s">
        <v>146</v>
      </c>
      <c r="B37"/>
      <c r="C37"/>
      <c r="D37"/>
      <c r="E37"/>
      <c r="F37"/>
      <c r="G37"/>
    </row>
    <row r="38" spans="1:7" x14ac:dyDescent="0.4">
      <c r="A38" t="s">
        <v>147</v>
      </c>
      <c r="B38">
        <v>5</v>
      </c>
      <c r="C38"/>
      <c r="D38"/>
      <c r="E38"/>
      <c r="F38"/>
      <c r="G38"/>
    </row>
    <row r="39" spans="1:7" x14ac:dyDescent="0.4">
      <c r="A39" t="s">
        <v>133</v>
      </c>
      <c r="B39">
        <v>11</v>
      </c>
      <c r="C39"/>
      <c r="D39"/>
      <c r="E39"/>
      <c r="F39"/>
      <c r="G39"/>
    </row>
    <row r="40" spans="1:7" x14ac:dyDescent="0.4">
      <c r="A40" t="s">
        <v>134</v>
      </c>
      <c r="B40">
        <v>6</v>
      </c>
      <c r="C40"/>
      <c r="D40"/>
      <c r="E40"/>
      <c r="F40"/>
      <c r="G40"/>
    </row>
    <row r="41" spans="1:7" x14ac:dyDescent="0.4">
      <c r="A41" t="s">
        <v>141</v>
      </c>
      <c r="B41">
        <v>2</v>
      </c>
      <c r="C41">
        <v>0</v>
      </c>
      <c r="D41">
        <v>2</v>
      </c>
      <c r="E41">
        <v>0</v>
      </c>
      <c r="F41">
        <v>1</v>
      </c>
      <c r="G41">
        <v>0</v>
      </c>
    </row>
    <row r="42" spans="1:7" x14ac:dyDescent="0.4">
      <c r="A42" t="s">
        <v>142</v>
      </c>
      <c r="B42">
        <v>1</v>
      </c>
      <c r="C42">
        <v>0</v>
      </c>
      <c r="D42">
        <v>1</v>
      </c>
      <c r="E42">
        <v>0</v>
      </c>
      <c r="F42">
        <v>0</v>
      </c>
      <c r="G42">
        <v>1</v>
      </c>
    </row>
    <row r="43" spans="1:7" x14ac:dyDescent="0.4">
      <c r="A43" t="s">
        <v>143</v>
      </c>
      <c r="B43">
        <v>1</v>
      </c>
      <c r="C43">
        <v>1</v>
      </c>
      <c r="D43">
        <v>2</v>
      </c>
      <c r="E43">
        <v>0</v>
      </c>
      <c r="F43">
        <v>1</v>
      </c>
      <c r="G43">
        <v>0</v>
      </c>
    </row>
    <row r="44" spans="1:7" x14ac:dyDescent="0.4">
      <c r="A44" t="s">
        <v>144</v>
      </c>
      <c r="B44">
        <v>3</v>
      </c>
      <c r="C44">
        <v>0</v>
      </c>
      <c r="D44">
        <v>3</v>
      </c>
      <c r="E44">
        <v>0</v>
      </c>
      <c r="F44">
        <v>1</v>
      </c>
      <c r="G44">
        <v>0</v>
      </c>
    </row>
    <row r="45" spans="1:7" x14ac:dyDescent="0.4">
      <c r="A45" t="s">
        <v>145</v>
      </c>
      <c r="B45">
        <v>2</v>
      </c>
      <c r="C45">
        <v>3</v>
      </c>
      <c r="D45">
        <v>5</v>
      </c>
      <c r="E45">
        <v>0</v>
      </c>
      <c r="F45">
        <v>1</v>
      </c>
      <c r="G45">
        <v>0</v>
      </c>
    </row>
    <row r="46" spans="1:7" x14ac:dyDescent="0.4">
      <c r="A46" t="s">
        <v>146</v>
      </c>
      <c r="B46">
        <v>2</v>
      </c>
      <c r="C46">
        <v>0</v>
      </c>
      <c r="D46">
        <v>2</v>
      </c>
      <c r="E46">
        <v>0</v>
      </c>
      <c r="F46">
        <v>1</v>
      </c>
      <c r="G46">
        <v>0</v>
      </c>
    </row>
    <row r="47" spans="1:7" x14ac:dyDescent="0.4">
      <c r="A47" t="s">
        <v>147</v>
      </c>
      <c r="B47">
        <v>6</v>
      </c>
      <c r="C47"/>
      <c r="D47"/>
      <c r="E47"/>
      <c r="F47"/>
      <c r="G47"/>
    </row>
    <row r="48" spans="1:7" x14ac:dyDescent="0.4">
      <c r="A48" t="s">
        <v>133</v>
      </c>
      <c r="B48">
        <v>14</v>
      </c>
      <c r="C48"/>
      <c r="D48"/>
      <c r="E48"/>
      <c r="F48"/>
      <c r="G48"/>
    </row>
    <row r="49" spans="1:7" x14ac:dyDescent="0.4">
      <c r="A49" t="s">
        <v>134</v>
      </c>
      <c r="B49">
        <v>5</v>
      </c>
      <c r="C49"/>
      <c r="D49"/>
      <c r="E49"/>
      <c r="F49"/>
      <c r="G49"/>
    </row>
    <row r="50" spans="1:7" x14ac:dyDescent="0.4">
      <c r="A50" t="s">
        <v>141</v>
      </c>
      <c r="B50">
        <v>1</v>
      </c>
      <c r="C50">
        <v>0</v>
      </c>
      <c r="D50">
        <v>1</v>
      </c>
      <c r="E50">
        <v>0</v>
      </c>
      <c r="F50">
        <v>1</v>
      </c>
      <c r="G50">
        <v>0</v>
      </c>
    </row>
    <row r="51" spans="1:7" x14ac:dyDescent="0.4">
      <c r="A51" t="s">
        <v>142</v>
      </c>
      <c r="B51">
        <v>2</v>
      </c>
      <c r="C51">
        <v>1</v>
      </c>
      <c r="D51">
        <v>3</v>
      </c>
      <c r="E51">
        <v>1</v>
      </c>
      <c r="F51">
        <v>0</v>
      </c>
      <c r="G51">
        <v>0</v>
      </c>
    </row>
    <row r="52" spans="1:7" x14ac:dyDescent="0.4">
      <c r="A52" t="s">
        <v>143</v>
      </c>
      <c r="B52">
        <v>3</v>
      </c>
      <c r="C52">
        <v>3</v>
      </c>
      <c r="D52">
        <v>6</v>
      </c>
      <c r="E52">
        <v>0</v>
      </c>
      <c r="F52">
        <v>1</v>
      </c>
      <c r="G52">
        <v>0</v>
      </c>
    </row>
    <row r="53" spans="1:7" x14ac:dyDescent="0.4">
      <c r="A53" t="s">
        <v>144</v>
      </c>
      <c r="B53">
        <v>4</v>
      </c>
      <c r="C53">
        <v>0</v>
      </c>
      <c r="D53">
        <v>4</v>
      </c>
      <c r="E53">
        <v>0</v>
      </c>
      <c r="F53">
        <v>1</v>
      </c>
      <c r="G53">
        <v>0</v>
      </c>
    </row>
    <row r="54" spans="1:7" x14ac:dyDescent="0.4">
      <c r="A54" t="s">
        <v>145</v>
      </c>
      <c r="B54">
        <v>4</v>
      </c>
      <c r="C54">
        <v>6</v>
      </c>
      <c r="D54">
        <v>10</v>
      </c>
      <c r="E54">
        <v>0</v>
      </c>
      <c r="F54">
        <v>0</v>
      </c>
      <c r="G54">
        <v>1</v>
      </c>
    </row>
    <row r="55" spans="1:7" x14ac:dyDescent="0.4">
      <c r="A55" t="s">
        <v>146</v>
      </c>
      <c r="B55"/>
      <c r="C55"/>
      <c r="D55"/>
      <c r="E55"/>
      <c r="F55"/>
      <c r="G55"/>
    </row>
    <row r="56" spans="1:7" x14ac:dyDescent="0.4">
      <c r="A56" t="s">
        <v>147</v>
      </c>
      <c r="B56">
        <v>7</v>
      </c>
      <c r="C56"/>
      <c r="D56"/>
      <c r="E56"/>
      <c r="F56"/>
      <c r="G56"/>
    </row>
    <row r="57" spans="1:7" x14ac:dyDescent="0.4">
      <c r="A57" t="s">
        <v>133</v>
      </c>
      <c r="B57">
        <v>12</v>
      </c>
      <c r="C57"/>
      <c r="D57"/>
      <c r="E57"/>
      <c r="F57"/>
      <c r="G57"/>
    </row>
    <row r="58" spans="1:7" x14ac:dyDescent="0.4">
      <c r="A58" t="s">
        <v>134</v>
      </c>
      <c r="B58">
        <v>4</v>
      </c>
      <c r="C58"/>
      <c r="D58"/>
      <c r="E58"/>
      <c r="F58"/>
      <c r="G58"/>
    </row>
    <row r="59" spans="1:7" x14ac:dyDescent="0.4">
      <c r="A59" t="s">
        <v>141</v>
      </c>
      <c r="B59">
        <v>4</v>
      </c>
      <c r="C59">
        <v>0</v>
      </c>
      <c r="D59">
        <v>4</v>
      </c>
      <c r="E59">
        <v>0</v>
      </c>
      <c r="F59">
        <v>1</v>
      </c>
      <c r="G59">
        <v>0</v>
      </c>
    </row>
    <row r="60" spans="1:7" x14ac:dyDescent="0.4">
      <c r="A60" t="s">
        <v>142</v>
      </c>
      <c r="B60">
        <v>4</v>
      </c>
      <c r="C60">
        <v>0</v>
      </c>
      <c r="D60">
        <v>4</v>
      </c>
      <c r="E60">
        <v>0</v>
      </c>
      <c r="F60">
        <v>1</v>
      </c>
      <c r="G60">
        <v>0</v>
      </c>
    </row>
    <row r="61" spans="1:7" x14ac:dyDescent="0.4">
      <c r="A61" t="s">
        <v>143</v>
      </c>
      <c r="B61">
        <v>1</v>
      </c>
      <c r="C61">
        <v>4</v>
      </c>
      <c r="D61">
        <v>5</v>
      </c>
      <c r="E61">
        <v>0</v>
      </c>
      <c r="F61">
        <v>1</v>
      </c>
      <c r="G61">
        <v>0</v>
      </c>
    </row>
    <row r="62" spans="1:7" x14ac:dyDescent="0.4">
      <c r="A62" t="s">
        <v>144</v>
      </c>
      <c r="B62">
        <v>3</v>
      </c>
      <c r="C62">
        <v>5</v>
      </c>
      <c r="D62">
        <v>8</v>
      </c>
      <c r="E62">
        <v>0</v>
      </c>
      <c r="F62">
        <v>1</v>
      </c>
      <c r="G62">
        <v>0</v>
      </c>
    </row>
    <row r="63" spans="1:7" x14ac:dyDescent="0.4">
      <c r="A63" t="s">
        <v>145</v>
      </c>
      <c r="B63"/>
      <c r="C63"/>
      <c r="D63"/>
      <c r="E63"/>
      <c r="F63"/>
      <c r="G63"/>
    </row>
    <row r="64" spans="1:7" x14ac:dyDescent="0.4">
      <c r="A64" t="s">
        <v>146</v>
      </c>
      <c r="B64"/>
      <c r="C64"/>
      <c r="D64"/>
      <c r="E64"/>
      <c r="F64"/>
      <c r="G64"/>
    </row>
    <row r="65" spans="1:7" x14ac:dyDescent="0.4">
      <c r="A65" t="s">
        <v>147</v>
      </c>
      <c r="B65">
        <v>8</v>
      </c>
      <c r="C65"/>
      <c r="D65"/>
      <c r="E65"/>
      <c r="F65"/>
      <c r="G65"/>
    </row>
    <row r="66" spans="1:7" x14ac:dyDescent="0.4">
      <c r="A66" t="s">
        <v>133</v>
      </c>
      <c r="B66">
        <v>3</v>
      </c>
      <c r="C66"/>
      <c r="D66"/>
      <c r="E66"/>
      <c r="F66"/>
      <c r="G66"/>
    </row>
    <row r="67" spans="1:7" x14ac:dyDescent="0.4">
      <c r="A67" t="s">
        <v>134</v>
      </c>
      <c r="B67">
        <v>1</v>
      </c>
      <c r="C67"/>
      <c r="D67"/>
      <c r="E67"/>
      <c r="F67"/>
      <c r="G67"/>
    </row>
    <row r="68" spans="1:7" x14ac:dyDescent="0.4">
      <c r="A68" t="s">
        <v>141</v>
      </c>
      <c r="B68">
        <v>3</v>
      </c>
      <c r="C68">
        <v>0</v>
      </c>
      <c r="D68">
        <v>3</v>
      </c>
      <c r="E68">
        <v>0</v>
      </c>
      <c r="F68">
        <v>0</v>
      </c>
      <c r="G68">
        <v>1</v>
      </c>
    </row>
    <row r="69" spans="1:7" x14ac:dyDescent="0.4">
      <c r="A69" t="s">
        <v>142</v>
      </c>
      <c r="B69"/>
      <c r="C69"/>
      <c r="D69"/>
      <c r="E69"/>
      <c r="F69"/>
      <c r="G69"/>
    </row>
    <row r="70" spans="1:7" x14ac:dyDescent="0.4">
      <c r="A70" t="s">
        <v>143</v>
      </c>
      <c r="B70"/>
      <c r="C70"/>
      <c r="D70"/>
      <c r="E70"/>
      <c r="F70"/>
      <c r="G70"/>
    </row>
    <row r="71" spans="1:7" x14ac:dyDescent="0.4">
      <c r="A71" t="s">
        <v>144</v>
      </c>
      <c r="B71"/>
      <c r="C71"/>
      <c r="D71"/>
      <c r="E71"/>
      <c r="F71"/>
      <c r="G71"/>
    </row>
    <row r="72" spans="1:7" x14ac:dyDescent="0.4">
      <c r="A72" t="s">
        <v>145</v>
      </c>
      <c r="B72"/>
      <c r="C72"/>
      <c r="D72"/>
      <c r="E72"/>
      <c r="F72"/>
      <c r="G72"/>
    </row>
    <row r="73" spans="1:7" x14ac:dyDescent="0.4">
      <c r="A73" t="s">
        <v>146</v>
      </c>
      <c r="B73"/>
      <c r="C73"/>
      <c r="D73"/>
      <c r="E73"/>
      <c r="F73"/>
      <c r="G73"/>
    </row>
    <row r="74" spans="1:7" x14ac:dyDescent="0.4">
      <c r="A74" t="s">
        <v>147</v>
      </c>
      <c r="B74">
        <v>9</v>
      </c>
      <c r="C74"/>
      <c r="D74"/>
      <c r="E74"/>
      <c r="F74"/>
      <c r="G74"/>
    </row>
    <row r="75" spans="1:7" x14ac:dyDescent="0.4">
      <c r="A75" t="s">
        <v>133</v>
      </c>
      <c r="B75">
        <v>8</v>
      </c>
      <c r="C75"/>
      <c r="D75"/>
      <c r="E75"/>
      <c r="F75"/>
      <c r="G75"/>
    </row>
    <row r="76" spans="1:7" x14ac:dyDescent="0.4">
      <c r="A76" t="s">
        <v>134</v>
      </c>
      <c r="B76">
        <v>2</v>
      </c>
      <c r="C76"/>
      <c r="D76"/>
      <c r="E76"/>
      <c r="F76"/>
      <c r="G76"/>
    </row>
    <row r="77" spans="1:7" x14ac:dyDescent="0.4">
      <c r="A77" t="s">
        <v>141</v>
      </c>
      <c r="B77">
        <v>4</v>
      </c>
      <c r="C77">
        <v>0</v>
      </c>
      <c r="D77">
        <v>4</v>
      </c>
      <c r="E77">
        <v>0</v>
      </c>
      <c r="F77">
        <v>1</v>
      </c>
      <c r="G77">
        <v>0</v>
      </c>
    </row>
    <row r="78" spans="1:7" x14ac:dyDescent="0.4">
      <c r="A78" t="s">
        <v>142</v>
      </c>
      <c r="B78">
        <v>4</v>
      </c>
      <c r="C78">
        <v>4</v>
      </c>
      <c r="D78">
        <v>8</v>
      </c>
      <c r="E78">
        <v>0</v>
      </c>
      <c r="F78">
        <v>1</v>
      </c>
      <c r="G78">
        <v>0</v>
      </c>
    </row>
    <row r="79" spans="1:7" x14ac:dyDescent="0.4">
      <c r="A79" t="s">
        <v>143</v>
      </c>
      <c r="B79"/>
      <c r="C79"/>
      <c r="D79"/>
      <c r="E79"/>
      <c r="F79"/>
      <c r="G79"/>
    </row>
    <row r="80" spans="1:7" x14ac:dyDescent="0.4">
      <c r="A80" t="s">
        <v>144</v>
      </c>
      <c r="B80"/>
      <c r="C80"/>
      <c r="D80"/>
      <c r="E80"/>
      <c r="F80"/>
      <c r="G80"/>
    </row>
    <row r="81" spans="1:7" x14ac:dyDescent="0.4">
      <c r="A81" t="s">
        <v>145</v>
      </c>
      <c r="B81"/>
      <c r="C81"/>
      <c r="D81"/>
      <c r="E81"/>
      <c r="F81"/>
      <c r="G81"/>
    </row>
    <row r="82" spans="1:7" x14ac:dyDescent="0.4">
      <c r="A82" t="s">
        <v>146</v>
      </c>
      <c r="B82"/>
      <c r="C82"/>
      <c r="D82"/>
      <c r="E82"/>
      <c r="F82"/>
      <c r="G82"/>
    </row>
    <row r="83" spans="1:7" x14ac:dyDescent="0.4">
      <c r="A83" t="s">
        <v>147</v>
      </c>
      <c r="B83">
        <v>10</v>
      </c>
      <c r="C83"/>
      <c r="D83"/>
      <c r="E83"/>
      <c r="F83"/>
      <c r="G83"/>
    </row>
    <row r="84" spans="1:7" x14ac:dyDescent="0.4">
      <c r="A84" t="s">
        <v>133</v>
      </c>
      <c r="B84">
        <v>5</v>
      </c>
      <c r="C84"/>
      <c r="D84"/>
      <c r="E84"/>
      <c r="F84"/>
      <c r="G84"/>
    </row>
    <row r="85" spans="1:7" x14ac:dyDescent="0.4">
      <c r="A85" t="s">
        <v>134</v>
      </c>
      <c r="B85">
        <v>2</v>
      </c>
      <c r="C85"/>
      <c r="D85"/>
      <c r="E85"/>
      <c r="F85"/>
      <c r="G85"/>
    </row>
    <row r="86" spans="1:7" x14ac:dyDescent="0.4">
      <c r="A86" t="s">
        <v>141</v>
      </c>
      <c r="B86">
        <v>3</v>
      </c>
      <c r="C86">
        <v>0</v>
      </c>
      <c r="D86">
        <v>3</v>
      </c>
      <c r="E86">
        <v>0</v>
      </c>
      <c r="F86">
        <v>1</v>
      </c>
      <c r="G86">
        <v>0</v>
      </c>
    </row>
    <row r="87" spans="1:7" x14ac:dyDescent="0.4">
      <c r="A87" t="s">
        <v>142</v>
      </c>
      <c r="B87">
        <v>2</v>
      </c>
      <c r="C87">
        <v>0</v>
      </c>
      <c r="D87">
        <v>2</v>
      </c>
      <c r="E87">
        <v>0</v>
      </c>
      <c r="F87">
        <v>1</v>
      </c>
      <c r="G87">
        <v>0</v>
      </c>
    </row>
    <row r="88" spans="1:7" x14ac:dyDescent="0.4">
      <c r="A88" t="s">
        <v>143</v>
      </c>
      <c r="B88"/>
      <c r="C88"/>
      <c r="D88"/>
      <c r="E88"/>
      <c r="F88"/>
      <c r="G88"/>
    </row>
    <row r="89" spans="1:7" x14ac:dyDescent="0.4">
      <c r="A89" t="s">
        <v>144</v>
      </c>
      <c r="B89"/>
      <c r="C89"/>
      <c r="D89"/>
      <c r="E89"/>
      <c r="F89"/>
      <c r="G89"/>
    </row>
    <row r="90" spans="1:7" x14ac:dyDescent="0.4">
      <c r="A90" t="s">
        <v>145</v>
      </c>
      <c r="B90"/>
      <c r="C90"/>
      <c r="D90"/>
      <c r="E90"/>
      <c r="F90"/>
      <c r="G90"/>
    </row>
    <row r="91" spans="1:7" x14ac:dyDescent="0.4">
      <c r="A91" t="s">
        <v>146</v>
      </c>
      <c r="B91"/>
      <c r="C91"/>
      <c r="D91"/>
      <c r="E91"/>
      <c r="F91"/>
      <c r="G91"/>
    </row>
    <row r="92" spans="1:7" x14ac:dyDescent="0.4">
      <c r="A92" t="s">
        <v>147</v>
      </c>
      <c r="B92">
        <v>11</v>
      </c>
      <c r="C92"/>
      <c r="D92"/>
      <c r="E92"/>
      <c r="F92"/>
      <c r="G92"/>
    </row>
    <row r="93" spans="1:7" x14ac:dyDescent="0.4">
      <c r="A93" t="s">
        <v>133</v>
      </c>
      <c r="B93">
        <v>1</v>
      </c>
      <c r="C93"/>
      <c r="D93"/>
      <c r="E93"/>
      <c r="F93"/>
      <c r="G93"/>
    </row>
    <row r="94" spans="1:7" x14ac:dyDescent="0.4">
      <c r="A94" t="s">
        <v>134</v>
      </c>
      <c r="B94">
        <v>1</v>
      </c>
      <c r="C94"/>
      <c r="D94"/>
      <c r="E94"/>
      <c r="F94"/>
      <c r="G94"/>
    </row>
    <row r="95" spans="1:7" x14ac:dyDescent="0.4">
      <c r="A95" t="s">
        <v>141</v>
      </c>
      <c r="B95">
        <v>1</v>
      </c>
      <c r="C95">
        <v>0</v>
      </c>
      <c r="D95">
        <v>1</v>
      </c>
      <c r="E95">
        <v>0</v>
      </c>
      <c r="F95">
        <v>1</v>
      </c>
      <c r="G95">
        <v>0</v>
      </c>
    </row>
    <row r="96" spans="1:7" x14ac:dyDescent="0.4">
      <c r="A96" t="s">
        <v>142</v>
      </c>
      <c r="B96"/>
      <c r="C96"/>
      <c r="D96"/>
      <c r="E96"/>
      <c r="F96"/>
      <c r="G96"/>
    </row>
    <row r="97" spans="1:7" x14ac:dyDescent="0.4">
      <c r="A97" t="s">
        <v>143</v>
      </c>
      <c r="B97"/>
      <c r="C97"/>
      <c r="D97"/>
      <c r="E97"/>
      <c r="F97"/>
      <c r="G97"/>
    </row>
    <row r="98" spans="1:7" x14ac:dyDescent="0.4">
      <c r="A98" t="s">
        <v>144</v>
      </c>
      <c r="B98"/>
      <c r="C98"/>
      <c r="D98"/>
      <c r="E98"/>
      <c r="F98"/>
      <c r="G98"/>
    </row>
    <row r="99" spans="1:7" x14ac:dyDescent="0.4">
      <c r="A99" t="s">
        <v>145</v>
      </c>
      <c r="B99"/>
      <c r="C99"/>
      <c r="D99"/>
      <c r="E99"/>
      <c r="F99"/>
      <c r="G99"/>
    </row>
    <row r="100" spans="1:7" x14ac:dyDescent="0.4">
      <c r="A100" t="s">
        <v>146</v>
      </c>
      <c r="B100"/>
      <c r="C100"/>
      <c r="D100"/>
      <c r="E100"/>
      <c r="F100"/>
      <c r="G100"/>
    </row>
    <row r="101" spans="1:7" x14ac:dyDescent="0.4">
      <c r="A101" t="s">
        <v>147</v>
      </c>
      <c r="B101">
        <v>12</v>
      </c>
      <c r="C101"/>
      <c r="D101"/>
      <c r="E101"/>
      <c r="F101"/>
      <c r="G101"/>
    </row>
    <row r="102" spans="1:7" x14ac:dyDescent="0.4">
      <c r="A102" t="s">
        <v>133</v>
      </c>
      <c r="B102">
        <v>9</v>
      </c>
      <c r="C102"/>
      <c r="D102"/>
      <c r="E102"/>
      <c r="F102"/>
      <c r="G102"/>
    </row>
    <row r="103" spans="1:7" x14ac:dyDescent="0.4">
      <c r="A103" t="s">
        <v>134</v>
      </c>
      <c r="B103">
        <v>3</v>
      </c>
      <c r="C103"/>
      <c r="D103"/>
      <c r="E103"/>
      <c r="F103"/>
      <c r="G103"/>
    </row>
    <row r="104" spans="1:7" x14ac:dyDescent="0.4">
      <c r="A104" t="s">
        <v>141</v>
      </c>
      <c r="B104">
        <v>4</v>
      </c>
      <c r="C104">
        <v>0</v>
      </c>
      <c r="D104">
        <v>4</v>
      </c>
      <c r="E104">
        <v>0</v>
      </c>
      <c r="F104">
        <v>0</v>
      </c>
      <c r="G104">
        <v>1</v>
      </c>
    </row>
    <row r="105" spans="1:7" x14ac:dyDescent="0.4">
      <c r="A105" t="s">
        <v>142</v>
      </c>
      <c r="B105">
        <v>2</v>
      </c>
      <c r="C105">
        <v>0</v>
      </c>
      <c r="D105">
        <v>2</v>
      </c>
      <c r="E105">
        <v>1</v>
      </c>
      <c r="F105">
        <v>0</v>
      </c>
      <c r="G105">
        <v>0</v>
      </c>
    </row>
    <row r="106" spans="1:7" x14ac:dyDescent="0.4">
      <c r="A106" t="s">
        <v>143</v>
      </c>
      <c r="B106">
        <v>3</v>
      </c>
      <c r="C106">
        <v>0</v>
      </c>
      <c r="D106">
        <v>3</v>
      </c>
      <c r="E106">
        <v>1</v>
      </c>
      <c r="F106">
        <v>0</v>
      </c>
      <c r="G106">
        <v>0</v>
      </c>
    </row>
    <row r="107" spans="1:7" x14ac:dyDescent="0.4">
      <c r="A107" t="s">
        <v>144</v>
      </c>
      <c r="B107"/>
      <c r="C107"/>
      <c r="D107"/>
      <c r="E107"/>
      <c r="F107"/>
      <c r="G107"/>
    </row>
    <row r="108" spans="1:7" x14ac:dyDescent="0.4">
      <c r="A108" t="s">
        <v>145</v>
      </c>
      <c r="B108"/>
      <c r="C108"/>
      <c r="D108"/>
      <c r="E108"/>
      <c r="F108"/>
      <c r="G108"/>
    </row>
    <row r="109" spans="1:7" x14ac:dyDescent="0.4">
      <c r="A109" t="s">
        <v>146</v>
      </c>
      <c r="B109"/>
      <c r="C109"/>
      <c r="D109"/>
      <c r="E109"/>
      <c r="F109"/>
      <c r="G109"/>
    </row>
    <row r="110" spans="1:7" x14ac:dyDescent="0.4">
      <c r="A110" t="s">
        <v>147</v>
      </c>
      <c r="B110">
        <v>13</v>
      </c>
      <c r="C110"/>
      <c r="D110"/>
      <c r="E110"/>
      <c r="F110"/>
      <c r="G110"/>
    </row>
    <row r="111" spans="1:7" x14ac:dyDescent="0.4">
      <c r="A111" t="s">
        <v>133</v>
      </c>
      <c r="B111">
        <v>5</v>
      </c>
      <c r="C111"/>
      <c r="D111"/>
      <c r="E111"/>
      <c r="F111"/>
      <c r="G111"/>
    </row>
    <row r="112" spans="1:7" x14ac:dyDescent="0.4">
      <c r="A112" t="s">
        <v>134</v>
      </c>
      <c r="B112">
        <v>3</v>
      </c>
      <c r="C112"/>
      <c r="D112"/>
      <c r="E112"/>
      <c r="F112"/>
      <c r="G112"/>
    </row>
    <row r="113" spans="1:7" x14ac:dyDescent="0.4">
      <c r="A113" t="s">
        <v>141</v>
      </c>
      <c r="B113">
        <v>3</v>
      </c>
      <c r="C113">
        <v>0</v>
      </c>
      <c r="D113">
        <v>3</v>
      </c>
      <c r="E113">
        <v>0</v>
      </c>
      <c r="F113">
        <v>1</v>
      </c>
      <c r="G113">
        <v>0</v>
      </c>
    </row>
    <row r="114" spans="1:7" x14ac:dyDescent="0.4">
      <c r="A114" t="s">
        <v>142</v>
      </c>
      <c r="B114">
        <v>1</v>
      </c>
      <c r="C114">
        <v>0</v>
      </c>
      <c r="D114">
        <v>1</v>
      </c>
      <c r="E114">
        <v>0</v>
      </c>
      <c r="F114">
        <v>1</v>
      </c>
      <c r="G114">
        <v>0</v>
      </c>
    </row>
    <row r="115" spans="1:7" x14ac:dyDescent="0.4">
      <c r="A115" t="s">
        <v>143</v>
      </c>
      <c r="B115">
        <v>1</v>
      </c>
      <c r="C115">
        <v>1</v>
      </c>
      <c r="D115">
        <v>2</v>
      </c>
      <c r="E115">
        <v>0</v>
      </c>
      <c r="F115">
        <v>1</v>
      </c>
      <c r="G115">
        <v>0</v>
      </c>
    </row>
    <row r="116" spans="1:7" x14ac:dyDescent="0.4">
      <c r="A116" t="s">
        <v>144</v>
      </c>
      <c r="B116"/>
      <c r="C116"/>
      <c r="D116"/>
      <c r="E116"/>
      <c r="F116"/>
      <c r="G116"/>
    </row>
    <row r="117" spans="1:7" x14ac:dyDescent="0.4">
      <c r="A117" t="s">
        <v>145</v>
      </c>
      <c r="B117"/>
      <c r="C117"/>
      <c r="D117"/>
      <c r="E117"/>
      <c r="F117"/>
      <c r="G117"/>
    </row>
    <row r="118" spans="1:7" x14ac:dyDescent="0.4">
      <c r="A118" t="s">
        <v>146</v>
      </c>
      <c r="B118"/>
      <c r="C118"/>
      <c r="D118"/>
      <c r="E118"/>
      <c r="F118"/>
      <c r="G118"/>
    </row>
    <row r="119" spans="1:7" x14ac:dyDescent="0.4">
      <c r="A119" t="s">
        <v>147</v>
      </c>
      <c r="B119">
        <v>14</v>
      </c>
      <c r="C119"/>
      <c r="D119"/>
      <c r="E119"/>
      <c r="F119"/>
      <c r="G119"/>
    </row>
    <row r="120" spans="1:7" x14ac:dyDescent="0.4">
      <c r="A120" t="s">
        <v>133</v>
      </c>
      <c r="B120">
        <v>12</v>
      </c>
      <c r="C120"/>
      <c r="D120"/>
      <c r="E120"/>
      <c r="F120"/>
      <c r="G120"/>
    </row>
    <row r="121" spans="1:7" x14ac:dyDescent="0.4">
      <c r="A121" t="s">
        <v>134</v>
      </c>
      <c r="B121">
        <v>4</v>
      </c>
      <c r="C121"/>
      <c r="D121"/>
      <c r="E121"/>
      <c r="F121"/>
      <c r="G121"/>
    </row>
    <row r="122" spans="1:7" x14ac:dyDescent="0.4">
      <c r="A122" t="s">
        <v>141</v>
      </c>
      <c r="B122">
        <v>4</v>
      </c>
      <c r="C122">
        <v>0</v>
      </c>
      <c r="D122">
        <v>4</v>
      </c>
      <c r="E122">
        <v>0</v>
      </c>
      <c r="F122">
        <v>1</v>
      </c>
      <c r="G122">
        <v>0</v>
      </c>
    </row>
    <row r="123" spans="1:7" x14ac:dyDescent="0.4">
      <c r="A123" t="s">
        <v>142</v>
      </c>
      <c r="B123">
        <v>1</v>
      </c>
      <c r="C123">
        <v>0</v>
      </c>
      <c r="D123">
        <v>1</v>
      </c>
      <c r="E123">
        <v>0</v>
      </c>
      <c r="F123">
        <v>0</v>
      </c>
      <c r="G123">
        <v>1</v>
      </c>
    </row>
    <row r="124" spans="1:7" x14ac:dyDescent="0.4">
      <c r="A124" t="s">
        <v>143</v>
      </c>
      <c r="B124">
        <v>3</v>
      </c>
      <c r="C124">
        <v>4</v>
      </c>
      <c r="D124">
        <v>7</v>
      </c>
      <c r="E124">
        <v>0</v>
      </c>
      <c r="F124">
        <v>0</v>
      </c>
      <c r="G124">
        <v>1</v>
      </c>
    </row>
    <row r="125" spans="1:7" x14ac:dyDescent="0.4">
      <c r="A125" t="s">
        <v>144</v>
      </c>
      <c r="B125">
        <v>4</v>
      </c>
      <c r="C125">
        <v>0</v>
      </c>
      <c r="D125">
        <v>4</v>
      </c>
      <c r="E125">
        <v>0</v>
      </c>
      <c r="F125">
        <v>1</v>
      </c>
      <c r="G125">
        <v>0</v>
      </c>
    </row>
    <row r="126" spans="1:7" x14ac:dyDescent="0.4">
      <c r="A126" t="s">
        <v>145</v>
      </c>
      <c r="B126"/>
      <c r="C126"/>
      <c r="D126"/>
      <c r="E126"/>
      <c r="F126"/>
      <c r="G126"/>
    </row>
    <row r="127" spans="1:7" x14ac:dyDescent="0.4">
      <c r="A127" t="s">
        <v>146</v>
      </c>
      <c r="B127"/>
      <c r="C127"/>
      <c r="D127"/>
      <c r="E127"/>
      <c r="F127"/>
      <c r="G127"/>
    </row>
    <row r="128" spans="1:7" x14ac:dyDescent="0.4">
      <c r="A128" t="s">
        <v>147</v>
      </c>
      <c r="B128">
        <v>15</v>
      </c>
      <c r="C128"/>
      <c r="D128"/>
      <c r="E128"/>
      <c r="F128"/>
      <c r="G128"/>
    </row>
    <row r="129" spans="1:7" x14ac:dyDescent="0.4">
      <c r="A129" t="s">
        <v>133</v>
      </c>
      <c r="B129">
        <v>2</v>
      </c>
      <c r="C129"/>
      <c r="D129"/>
      <c r="E129"/>
      <c r="F129"/>
      <c r="G129"/>
    </row>
    <row r="130" spans="1:7" x14ac:dyDescent="0.4">
      <c r="A130" t="s">
        <v>134</v>
      </c>
      <c r="B130">
        <v>2</v>
      </c>
      <c r="C130"/>
      <c r="D130"/>
      <c r="E130"/>
      <c r="F130"/>
      <c r="G130"/>
    </row>
    <row r="131" spans="1:7" x14ac:dyDescent="0.4">
      <c r="A131" t="s">
        <v>141</v>
      </c>
      <c r="B131">
        <v>1</v>
      </c>
      <c r="C131">
        <v>0</v>
      </c>
      <c r="D131">
        <v>1</v>
      </c>
      <c r="E131">
        <v>0</v>
      </c>
      <c r="F131">
        <v>0</v>
      </c>
      <c r="G131">
        <v>1</v>
      </c>
    </row>
    <row r="132" spans="1:7" x14ac:dyDescent="0.4">
      <c r="A132" t="s">
        <v>142</v>
      </c>
      <c r="B132">
        <v>1</v>
      </c>
      <c r="C132">
        <v>0</v>
      </c>
      <c r="D132">
        <v>1</v>
      </c>
      <c r="E132">
        <v>1</v>
      </c>
      <c r="F132">
        <v>0</v>
      </c>
      <c r="G132">
        <v>0</v>
      </c>
    </row>
    <row r="133" spans="1:7" x14ac:dyDescent="0.4">
      <c r="A133" t="s">
        <v>143</v>
      </c>
      <c r="B133"/>
      <c r="C133"/>
      <c r="D133"/>
      <c r="E133"/>
      <c r="F133"/>
      <c r="G133"/>
    </row>
    <row r="134" spans="1:7" x14ac:dyDescent="0.4">
      <c r="A134" t="s">
        <v>144</v>
      </c>
      <c r="B134"/>
      <c r="C134"/>
      <c r="D134"/>
      <c r="E134"/>
      <c r="F134"/>
      <c r="G134"/>
    </row>
    <row r="135" spans="1:7" x14ac:dyDescent="0.4">
      <c r="A135" t="s">
        <v>145</v>
      </c>
      <c r="B135"/>
      <c r="C135"/>
      <c r="D135"/>
      <c r="E135"/>
      <c r="F135"/>
      <c r="G135"/>
    </row>
    <row r="136" spans="1:7" x14ac:dyDescent="0.4">
      <c r="A136" t="s">
        <v>146</v>
      </c>
      <c r="B136"/>
      <c r="C136"/>
      <c r="D136"/>
      <c r="E136"/>
      <c r="F136"/>
      <c r="G136"/>
    </row>
    <row r="137" spans="1:7" x14ac:dyDescent="0.4">
      <c r="A137" t="s">
        <v>147</v>
      </c>
      <c r="B137">
        <v>16</v>
      </c>
      <c r="C137"/>
      <c r="D137"/>
      <c r="E137"/>
      <c r="F137"/>
      <c r="G137"/>
    </row>
    <row r="138" spans="1:7" x14ac:dyDescent="0.4">
      <c r="A138" t="s">
        <v>133</v>
      </c>
      <c r="B138">
        <v>16</v>
      </c>
      <c r="C138"/>
      <c r="D138"/>
      <c r="E138"/>
      <c r="F138"/>
      <c r="G138"/>
    </row>
    <row r="139" spans="1:7" x14ac:dyDescent="0.4">
      <c r="A139" t="s">
        <v>134</v>
      </c>
      <c r="B139">
        <v>6</v>
      </c>
      <c r="C139"/>
      <c r="D139"/>
      <c r="E139"/>
      <c r="F139"/>
      <c r="G139"/>
    </row>
    <row r="140" spans="1:7" x14ac:dyDescent="0.4">
      <c r="A140" t="s">
        <v>141</v>
      </c>
      <c r="B140">
        <v>3</v>
      </c>
      <c r="C140">
        <v>0</v>
      </c>
      <c r="D140">
        <v>3</v>
      </c>
      <c r="E140">
        <v>1</v>
      </c>
      <c r="F140">
        <v>0</v>
      </c>
      <c r="G140">
        <v>0</v>
      </c>
    </row>
    <row r="141" spans="1:7" x14ac:dyDescent="0.4">
      <c r="A141" t="s">
        <v>142</v>
      </c>
      <c r="B141">
        <v>4</v>
      </c>
      <c r="C141">
        <v>0</v>
      </c>
      <c r="D141">
        <v>4</v>
      </c>
      <c r="E141">
        <v>0</v>
      </c>
      <c r="F141">
        <v>0</v>
      </c>
      <c r="G141">
        <v>1</v>
      </c>
    </row>
    <row r="142" spans="1:7" x14ac:dyDescent="0.4">
      <c r="A142" t="s">
        <v>143</v>
      </c>
      <c r="B142">
        <v>1</v>
      </c>
      <c r="C142">
        <v>0</v>
      </c>
      <c r="D142">
        <v>1</v>
      </c>
      <c r="E142">
        <v>0</v>
      </c>
      <c r="F142">
        <v>1</v>
      </c>
      <c r="G142">
        <v>0</v>
      </c>
    </row>
    <row r="143" spans="1:7" x14ac:dyDescent="0.4">
      <c r="A143" t="s">
        <v>144</v>
      </c>
      <c r="B143">
        <v>4</v>
      </c>
      <c r="C143">
        <v>0</v>
      </c>
      <c r="D143">
        <v>4</v>
      </c>
      <c r="E143">
        <v>0</v>
      </c>
      <c r="F143">
        <v>1</v>
      </c>
      <c r="G143">
        <v>0</v>
      </c>
    </row>
    <row r="144" spans="1:7" x14ac:dyDescent="0.4">
      <c r="A144" t="s">
        <v>145</v>
      </c>
      <c r="B144">
        <v>1</v>
      </c>
      <c r="C144">
        <v>4</v>
      </c>
      <c r="D144">
        <v>5</v>
      </c>
      <c r="E144">
        <v>1</v>
      </c>
      <c r="F144">
        <v>0</v>
      </c>
      <c r="G144">
        <v>0</v>
      </c>
    </row>
    <row r="145" spans="1:7" x14ac:dyDescent="0.4">
      <c r="A145" t="s">
        <v>146</v>
      </c>
      <c r="B145">
        <v>3</v>
      </c>
      <c r="C145">
        <v>5</v>
      </c>
      <c r="D145">
        <v>8</v>
      </c>
      <c r="E145">
        <v>0</v>
      </c>
      <c r="F145">
        <v>1</v>
      </c>
      <c r="G145">
        <v>0</v>
      </c>
    </row>
    <row r="146" spans="1:7" x14ac:dyDescent="0.4">
      <c r="A146" t="s">
        <v>147</v>
      </c>
      <c r="B146">
        <v>17</v>
      </c>
      <c r="C146"/>
      <c r="D146"/>
      <c r="E146"/>
      <c r="F146"/>
      <c r="G146"/>
    </row>
    <row r="147" spans="1:7" x14ac:dyDescent="0.4">
      <c r="A147" t="s">
        <v>133</v>
      </c>
      <c r="B147">
        <v>2</v>
      </c>
      <c r="C147"/>
      <c r="D147"/>
      <c r="E147"/>
      <c r="F147"/>
      <c r="G147"/>
    </row>
    <row r="148" spans="1:7" x14ac:dyDescent="0.4">
      <c r="A148" t="s">
        <v>134</v>
      </c>
      <c r="B148">
        <v>1</v>
      </c>
      <c r="C148"/>
      <c r="D148"/>
      <c r="E148"/>
      <c r="F148"/>
      <c r="G148"/>
    </row>
    <row r="149" spans="1:7" x14ac:dyDescent="0.4">
      <c r="A149" t="s">
        <v>141</v>
      </c>
      <c r="B149">
        <v>2</v>
      </c>
      <c r="C149">
        <v>0</v>
      </c>
      <c r="D149">
        <v>2</v>
      </c>
      <c r="E149">
        <v>0</v>
      </c>
      <c r="F149">
        <v>1</v>
      </c>
      <c r="G149">
        <v>0</v>
      </c>
    </row>
    <row r="150" spans="1:7" x14ac:dyDescent="0.4">
      <c r="A150" t="s">
        <v>142</v>
      </c>
      <c r="B150"/>
      <c r="C150"/>
      <c r="D150"/>
      <c r="E150"/>
      <c r="F150"/>
      <c r="G150"/>
    </row>
    <row r="151" spans="1:7" x14ac:dyDescent="0.4">
      <c r="A151" t="s">
        <v>143</v>
      </c>
      <c r="B151"/>
      <c r="C151"/>
      <c r="D151"/>
      <c r="E151"/>
      <c r="F151"/>
      <c r="G151"/>
    </row>
    <row r="152" spans="1:7" x14ac:dyDescent="0.4">
      <c r="A152" t="s">
        <v>144</v>
      </c>
      <c r="B152"/>
      <c r="C152"/>
      <c r="D152"/>
      <c r="E152"/>
      <c r="F152"/>
      <c r="G152"/>
    </row>
    <row r="153" spans="1:7" x14ac:dyDescent="0.4">
      <c r="A153" t="s">
        <v>145</v>
      </c>
      <c r="B153"/>
      <c r="C153"/>
      <c r="D153"/>
      <c r="E153"/>
      <c r="F153"/>
      <c r="G153"/>
    </row>
    <row r="154" spans="1:7" x14ac:dyDescent="0.4">
      <c r="A154" t="s">
        <v>146</v>
      </c>
      <c r="B154"/>
      <c r="C154"/>
      <c r="D154"/>
      <c r="E154"/>
      <c r="F154"/>
      <c r="G154"/>
    </row>
    <row r="155" spans="1:7" x14ac:dyDescent="0.4">
      <c r="A155" t="s">
        <v>147</v>
      </c>
      <c r="B155">
        <v>18</v>
      </c>
      <c r="C155"/>
      <c r="D155"/>
      <c r="E155"/>
      <c r="F155"/>
      <c r="G155"/>
    </row>
    <row r="156" spans="1:7" x14ac:dyDescent="0.4">
      <c r="A156" t="s">
        <v>133</v>
      </c>
      <c r="B156">
        <v>5</v>
      </c>
      <c r="C156"/>
      <c r="D156"/>
      <c r="E156"/>
      <c r="F156"/>
      <c r="G156"/>
    </row>
    <row r="157" spans="1:7" x14ac:dyDescent="0.4">
      <c r="A157" t="s">
        <v>134</v>
      </c>
      <c r="B157">
        <v>3</v>
      </c>
      <c r="C157"/>
      <c r="D157"/>
      <c r="E157"/>
      <c r="F157"/>
      <c r="G157"/>
    </row>
    <row r="158" spans="1:7" x14ac:dyDescent="0.4">
      <c r="A158" t="s">
        <v>141</v>
      </c>
      <c r="B158">
        <v>2</v>
      </c>
      <c r="C158">
        <v>0</v>
      </c>
      <c r="D158">
        <v>2</v>
      </c>
      <c r="E158">
        <v>0</v>
      </c>
      <c r="F158">
        <v>1</v>
      </c>
      <c r="G158">
        <v>0</v>
      </c>
    </row>
    <row r="159" spans="1:7" x14ac:dyDescent="0.4">
      <c r="A159" t="s">
        <v>142</v>
      </c>
      <c r="B159">
        <v>2</v>
      </c>
      <c r="C159">
        <v>2</v>
      </c>
      <c r="D159">
        <v>4</v>
      </c>
      <c r="E159">
        <v>1</v>
      </c>
      <c r="F159">
        <v>0</v>
      </c>
      <c r="G159">
        <v>0</v>
      </c>
    </row>
    <row r="160" spans="1:7" x14ac:dyDescent="0.4">
      <c r="A160" t="s">
        <v>143</v>
      </c>
      <c r="B160">
        <v>1</v>
      </c>
      <c r="C160">
        <v>4</v>
      </c>
      <c r="D160">
        <v>5</v>
      </c>
      <c r="E160">
        <v>0</v>
      </c>
      <c r="F160">
        <v>0</v>
      </c>
      <c r="G160">
        <v>1</v>
      </c>
    </row>
    <row r="161" spans="1:7" x14ac:dyDescent="0.4">
      <c r="A161" t="s">
        <v>144</v>
      </c>
      <c r="B161"/>
      <c r="C161"/>
      <c r="D161"/>
      <c r="E161"/>
      <c r="F161"/>
      <c r="G161"/>
    </row>
    <row r="162" spans="1:7" x14ac:dyDescent="0.4">
      <c r="A162" t="s">
        <v>145</v>
      </c>
      <c r="B162"/>
      <c r="C162"/>
      <c r="D162"/>
      <c r="E162"/>
      <c r="F162"/>
      <c r="G162"/>
    </row>
    <row r="163" spans="1:7" x14ac:dyDescent="0.4">
      <c r="A163" t="s">
        <v>146</v>
      </c>
      <c r="B163"/>
      <c r="C163"/>
      <c r="D163"/>
      <c r="E163"/>
      <c r="F163"/>
      <c r="G163"/>
    </row>
    <row r="164" spans="1:7" x14ac:dyDescent="0.4">
      <c r="A164" t="s">
        <v>147</v>
      </c>
      <c r="B164">
        <v>19</v>
      </c>
      <c r="C164"/>
      <c r="D164"/>
      <c r="E164"/>
      <c r="F164"/>
      <c r="G164"/>
    </row>
    <row r="165" spans="1:7" x14ac:dyDescent="0.4">
      <c r="A165" t="s">
        <v>133</v>
      </c>
      <c r="B165">
        <v>11</v>
      </c>
      <c r="C165"/>
      <c r="D165"/>
      <c r="E165"/>
      <c r="F165"/>
      <c r="G165"/>
    </row>
    <row r="166" spans="1:7" x14ac:dyDescent="0.4">
      <c r="A166" t="s">
        <v>134</v>
      </c>
      <c r="B166">
        <v>5</v>
      </c>
      <c r="C166"/>
      <c r="D166"/>
      <c r="E166"/>
      <c r="F166"/>
      <c r="G166"/>
    </row>
    <row r="167" spans="1:7" x14ac:dyDescent="0.4">
      <c r="A167" t="s">
        <v>141</v>
      </c>
      <c r="B167">
        <v>1</v>
      </c>
      <c r="C167">
        <v>0</v>
      </c>
      <c r="D167">
        <v>1</v>
      </c>
      <c r="E167">
        <v>0</v>
      </c>
      <c r="F167">
        <v>0</v>
      </c>
      <c r="G167">
        <v>1</v>
      </c>
    </row>
    <row r="168" spans="1:7" x14ac:dyDescent="0.4">
      <c r="A168" t="s">
        <v>142</v>
      </c>
      <c r="B168">
        <v>3</v>
      </c>
      <c r="C168">
        <v>0</v>
      </c>
      <c r="D168">
        <v>3</v>
      </c>
      <c r="E168">
        <v>0</v>
      </c>
      <c r="F168">
        <v>1</v>
      </c>
      <c r="G168">
        <v>0</v>
      </c>
    </row>
    <row r="169" spans="1:7" x14ac:dyDescent="0.4">
      <c r="A169" t="s">
        <v>143</v>
      </c>
      <c r="B169">
        <v>2</v>
      </c>
      <c r="C169">
        <v>0</v>
      </c>
      <c r="D169">
        <v>2</v>
      </c>
      <c r="E169">
        <v>0</v>
      </c>
      <c r="F169">
        <v>1</v>
      </c>
      <c r="G169">
        <v>0</v>
      </c>
    </row>
    <row r="170" spans="1:7" x14ac:dyDescent="0.4">
      <c r="A170" t="s">
        <v>144</v>
      </c>
      <c r="B170">
        <v>1</v>
      </c>
      <c r="C170">
        <v>0</v>
      </c>
      <c r="D170">
        <v>1</v>
      </c>
      <c r="E170">
        <v>0</v>
      </c>
      <c r="F170">
        <v>1</v>
      </c>
      <c r="G170">
        <v>0</v>
      </c>
    </row>
    <row r="171" spans="1:7" x14ac:dyDescent="0.4">
      <c r="A171" t="s">
        <v>145</v>
      </c>
      <c r="B171">
        <v>4</v>
      </c>
      <c r="C171">
        <v>0</v>
      </c>
      <c r="D171">
        <v>4</v>
      </c>
      <c r="E171">
        <v>0</v>
      </c>
      <c r="F171">
        <v>0</v>
      </c>
      <c r="G171">
        <v>1</v>
      </c>
    </row>
    <row r="172" spans="1:7" x14ac:dyDescent="0.4">
      <c r="A172" t="s">
        <v>146</v>
      </c>
      <c r="B172"/>
      <c r="C172"/>
      <c r="D172"/>
      <c r="E172"/>
      <c r="F172"/>
      <c r="G172"/>
    </row>
    <row r="173" spans="1:7" x14ac:dyDescent="0.4">
      <c r="A173" t="s">
        <v>147</v>
      </c>
      <c r="B173">
        <v>20</v>
      </c>
      <c r="C173"/>
      <c r="D173"/>
      <c r="E173"/>
      <c r="F173"/>
      <c r="G173"/>
    </row>
    <row r="174" spans="1:7" x14ac:dyDescent="0.4">
      <c r="A174" t="s">
        <v>133</v>
      </c>
      <c r="B174">
        <v>7</v>
      </c>
      <c r="C174"/>
      <c r="D174"/>
      <c r="E174"/>
      <c r="F174"/>
      <c r="G174"/>
    </row>
    <row r="175" spans="1:7" x14ac:dyDescent="0.4">
      <c r="A175" t="s">
        <v>134</v>
      </c>
      <c r="B175">
        <v>2</v>
      </c>
      <c r="C175"/>
      <c r="D175"/>
      <c r="E175"/>
      <c r="F175"/>
      <c r="G175"/>
    </row>
    <row r="176" spans="1:7" x14ac:dyDescent="0.4">
      <c r="A176" t="s">
        <v>141</v>
      </c>
      <c r="B176">
        <v>4</v>
      </c>
      <c r="C176">
        <v>0</v>
      </c>
      <c r="D176">
        <v>4</v>
      </c>
      <c r="E176">
        <v>0</v>
      </c>
      <c r="F176">
        <v>0</v>
      </c>
      <c r="G176">
        <v>1</v>
      </c>
    </row>
    <row r="177" spans="1:7" x14ac:dyDescent="0.4">
      <c r="A177" t="s">
        <v>142</v>
      </c>
      <c r="B177">
        <v>3</v>
      </c>
      <c r="C177">
        <v>4</v>
      </c>
      <c r="D177">
        <v>7</v>
      </c>
      <c r="E177">
        <v>0</v>
      </c>
      <c r="F177">
        <v>1</v>
      </c>
      <c r="G177">
        <v>0</v>
      </c>
    </row>
    <row r="178" spans="1:7" x14ac:dyDescent="0.4">
      <c r="A178" t="s">
        <v>143</v>
      </c>
      <c r="B178"/>
      <c r="C178"/>
      <c r="D178"/>
      <c r="E178"/>
      <c r="F178"/>
      <c r="G178"/>
    </row>
    <row r="179" spans="1:7" x14ac:dyDescent="0.4">
      <c r="A179" t="s">
        <v>144</v>
      </c>
      <c r="B179"/>
      <c r="C179"/>
      <c r="D179"/>
      <c r="E179"/>
      <c r="F179"/>
      <c r="G179"/>
    </row>
    <row r="180" spans="1:7" x14ac:dyDescent="0.4">
      <c r="A180" t="s">
        <v>145</v>
      </c>
      <c r="B180"/>
      <c r="C180"/>
      <c r="D180"/>
      <c r="E180"/>
      <c r="F180"/>
      <c r="G180"/>
    </row>
    <row r="181" spans="1:7" x14ac:dyDescent="0.4">
      <c r="A181" t="s">
        <v>146</v>
      </c>
      <c r="B181"/>
      <c r="C181"/>
      <c r="D181"/>
      <c r="E181"/>
      <c r="F181"/>
      <c r="G181"/>
    </row>
    <row r="182" spans="1:7" x14ac:dyDescent="0.4">
      <c r="A182" t="s">
        <v>147</v>
      </c>
      <c r="B182">
        <v>21</v>
      </c>
      <c r="C182"/>
      <c r="D182"/>
      <c r="E182"/>
      <c r="F182"/>
      <c r="G182"/>
    </row>
    <row r="183" spans="1:7" x14ac:dyDescent="0.4">
      <c r="A183" t="s">
        <v>133</v>
      </c>
      <c r="B183">
        <v>13</v>
      </c>
      <c r="C183"/>
      <c r="D183"/>
      <c r="E183"/>
      <c r="F183"/>
      <c r="G183"/>
    </row>
    <row r="184" spans="1:7" x14ac:dyDescent="0.4">
      <c r="A184" t="s">
        <v>134</v>
      </c>
      <c r="B184">
        <v>4</v>
      </c>
      <c r="C184"/>
      <c r="D184"/>
      <c r="E184"/>
      <c r="F184"/>
      <c r="G184"/>
    </row>
    <row r="185" spans="1:7" x14ac:dyDescent="0.4">
      <c r="A185" t="s">
        <v>141</v>
      </c>
      <c r="B185">
        <v>3</v>
      </c>
      <c r="C185">
        <v>0</v>
      </c>
      <c r="D185">
        <v>3</v>
      </c>
      <c r="E185">
        <v>0</v>
      </c>
      <c r="F185">
        <v>0</v>
      </c>
      <c r="G185">
        <v>1</v>
      </c>
    </row>
    <row r="186" spans="1:7" x14ac:dyDescent="0.4">
      <c r="A186" t="s">
        <v>142</v>
      </c>
      <c r="B186">
        <v>3</v>
      </c>
      <c r="C186">
        <v>0</v>
      </c>
      <c r="D186">
        <v>3</v>
      </c>
      <c r="E186">
        <v>0</v>
      </c>
      <c r="F186">
        <v>0</v>
      </c>
      <c r="G186">
        <v>1</v>
      </c>
    </row>
    <row r="187" spans="1:7" x14ac:dyDescent="0.4">
      <c r="A187" t="s">
        <v>143</v>
      </c>
      <c r="B187">
        <v>3</v>
      </c>
      <c r="C187">
        <v>3</v>
      </c>
      <c r="D187">
        <v>6</v>
      </c>
      <c r="E187">
        <v>0</v>
      </c>
      <c r="F187">
        <v>1</v>
      </c>
      <c r="G187">
        <v>0</v>
      </c>
    </row>
    <row r="188" spans="1:7" x14ac:dyDescent="0.4">
      <c r="A188" t="s">
        <v>144</v>
      </c>
      <c r="B188">
        <v>4</v>
      </c>
      <c r="C188">
        <v>0</v>
      </c>
      <c r="D188">
        <v>4</v>
      </c>
      <c r="E188">
        <v>1</v>
      </c>
      <c r="F188">
        <v>0</v>
      </c>
      <c r="G188">
        <v>0</v>
      </c>
    </row>
    <row r="189" spans="1:7" x14ac:dyDescent="0.4">
      <c r="A189" t="s">
        <v>145</v>
      </c>
      <c r="B189"/>
      <c r="C189"/>
      <c r="D189"/>
      <c r="E189"/>
      <c r="F189"/>
      <c r="G189"/>
    </row>
    <row r="190" spans="1:7" x14ac:dyDescent="0.4">
      <c r="A190" t="s">
        <v>146</v>
      </c>
      <c r="B190"/>
      <c r="C190"/>
      <c r="D190"/>
      <c r="E190"/>
      <c r="F190"/>
      <c r="G190"/>
    </row>
    <row r="191" spans="1:7" x14ac:dyDescent="0.4">
      <c r="A191" t="s">
        <v>147</v>
      </c>
      <c r="B191">
        <v>22</v>
      </c>
      <c r="C191"/>
      <c r="D191"/>
      <c r="E191"/>
      <c r="F191"/>
      <c r="G191"/>
    </row>
    <row r="192" spans="1:7" x14ac:dyDescent="0.4">
      <c r="A192" t="s">
        <v>133</v>
      </c>
      <c r="B192">
        <v>17</v>
      </c>
      <c r="C192"/>
      <c r="D192"/>
      <c r="E192"/>
      <c r="F192"/>
      <c r="G192"/>
    </row>
    <row r="193" spans="1:7" x14ac:dyDescent="0.4">
      <c r="A193" t="s">
        <v>134</v>
      </c>
      <c r="B193">
        <v>5</v>
      </c>
      <c r="C193"/>
      <c r="D193"/>
      <c r="E193"/>
      <c r="F193"/>
      <c r="G193"/>
    </row>
    <row r="194" spans="1:7" x14ac:dyDescent="0.4">
      <c r="A194" t="s">
        <v>141</v>
      </c>
      <c r="B194">
        <v>4</v>
      </c>
      <c r="C194">
        <v>0</v>
      </c>
      <c r="D194">
        <v>4</v>
      </c>
      <c r="E194">
        <v>0</v>
      </c>
      <c r="F194">
        <v>0</v>
      </c>
      <c r="G194">
        <v>1</v>
      </c>
    </row>
    <row r="195" spans="1:7" x14ac:dyDescent="0.4">
      <c r="A195" t="s">
        <v>142</v>
      </c>
      <c r="B195">
        <v>4</v>
      </c>
      <c r="C195">
        <v>4</v>
      </c>
      <c r="D195">
        <v>8</v>
      </c>
      <c r="E195">
        <v>1</v>
      </c>
      <c r="F195">
        <v>0</v>
      </c>
      <c r="G195">
        <v>0</v>
      </c>
    </row>
    <row r="196" spans="1:7" x14ac:dyDescent="0.4">
      <c r="A196" t="s">
        <v>143</v>
      </c>
      <c r="B196">
        <v>1</v>
      </c>
      <c r="C196">
        <v>8</v>
      </c>
      <c r="D196">
        <v>9</v>
      </c>
      <c r="E196">
        <v>0</v>
      </c>
      <c r="F196">
        <v>1</v>
      </c>
      <c r="G196">
        <v>0</v>
      </c>
    </row>
    <row r="197" spans="1:7" x14ac:dyDescent="0.4">
      <c r="A197" t="s">
        <v>144</v>
      </c>
      <c r="B197">
        <v>4</v>
      </c>
      <c r="C197">
        <v>9</v>
      </c>
      <c r="D197">
        <v>13</v>
      </c>
      <c r="E197">
        <v>0</v>
      </c>
      <c r="F197">
        <v>0</v>
      </c>
      <c r="G197">
        <v>1</v>
      </c>
    </row>
    <row r="198" spans="1:7" x14ac:dyDescent="0.4">
      <c r="A198" t="s">
        <v>145</v>
      </c>
      <c r="B198">
        <v>4</v>
      </c>
      <c r="C198">
        <v>0</v>
      </c>
      <c r="D198">
        <v>4</v>
      </c>
      <c r="E198">
        <v>0</v>
      </c>
      <c r="F198">
        <v>1</v>
      </c>
      <c r="G198">
        <v>0</v>
      </c>
    </row>
    <row r="199" spans="1:7" x14ac:dyDescent="0.4">
      <c r="A199" t="s">
        <v>146</v>
      </c>
      <c r="B199"/>
      <c r="C199"/>
      <c r="D199"/>
      <c r="E199"/>
      <c r="F199"/>
      <c r="G199"/>
    </row>
    <row r="200" spans="1:7" x14ac:dyDescent="0.4">
      <c r="A200" t="s">
        <v>147</v>
      </c>
      <c r="B200">
        <v>23</v>
      </c>
      <c r="C200"/>
      <c r="D200"/>
      <c r="E200"/>
      <c r="F200"/>
      <c r="G200"/>
    </row>
    <row r="201" spans="1:7" x14ac:dyDescent="0.4">
      <c r="A201" t="s">
        <v>133</v>
      </c>
      <c r="B201">
        <v>12</v>
      </c>
      <c r="C201"/>
      <c r="D201"/>
      <c r="E201"/>
      <c r="F201"/>
      <c r="G201"/>
    </row>
    <row r="202" spans="1:7" x14ac:dyDescent="0.4">
      <c r="A202" t="s">
        <v>134</v>
      </c>
      <c r="B202">
        <v>5</v>
      </c>
      <c r="C202"/>
      <c r="D202"/>
      <c r="E202"/>
      <c r="F202"/>
      <c r="G202"/>
    </row>
    <row r="203" spans="1:7" x14ac:dyDescent="0.4">
      <c r="A203" t="s">
        <v>141</v>
      </c>
      <c r="B203">
        <v>2</v>
      </c>
      <c r="C203">
        <v>0</v>
      </c>
      <c r="D203">
        <v>2</v>
      </c>
      <c r="E203">
        <v>0</v>
      </c>
      <c r="F203">
        <v>0</v>
      </c>
      <c r="G203">
        <v>1</v>
      </c>
    </row>
    <row r="204" spans="1:7" x14ac:dyDescent="0.4">
      <c r="A204" t="s">
        <v>142</v>
      </c>
      <c r="B204">
        <v>4</v>
      </c>
      <c r="C204">
        <v>2</v>
      </c>
      <c r="D204">
        <v>6</v>
      </c>
      <c r="E204">
        <v>0</v>
      </c>
      <c r="F204">
        <v>1</v>
      </c>
      <c r="G204">
        <v>0</v>
      </c>
    </row>
    <row r="205" spans="1:7" x14ac:dyDescent="0.4">
      <c r="A205" t="s">
        <v>143</v>
      </c>
      <c r="B205">
        <v>3</v>
      </c>
      <c r="C205">
        <v>6</v>
      </c>
      <c r="D205">
        <v>9</v>
      </c>
      <c r="E205">
        <v>1</v>
      </c>
      <c r="F205">
        <v>0</v>
      </c>
      <c r="G205">
        <v>0</v>
      </c>
    </row>
    <row r="206" spans="1:7" x14ac:dyDescent="0.4">
      <c r="A206" t="s">
        <v>144</v>
      </c>
      <c r="B206">
        <v>2</v>
      </c>
      <c r="C206">
        <v>9</v>
      </c>
      <c r="D206">
        <v>11</v>
      </c>
      <c r="E206">
        <v>0</v>
      </c>
      <c r="F206">
        <v>1</v>
      </c>
      <c r="G206">
        <v>0</v>
      </c>
    </row>
    <row r="207" spans="1:7" x14ac:dyDescent="0.4">
      <c r="A207" t="s">
        <v>145</v>
      </c>
      <c r="B207">
        <v>1</v>
      </c>
      <c r="C207">
        <v>11</v>
      </c>
      <c r="D207">
        <v>12</v>
      </c>
      <c r="E207">
        <v>0</v>
      </c>
      <c r="F207">
        <v>1</v>
      </c>
      <c r="G207">
        <v>0</v>
      </c>
    </row>
    <row r="208" spans="1:7" x14ac:dyDescent="0.4">
      <c r="A208" t="s">
        <v>146</v>
      </c>
      <c r="B208"/>
      <c r="C208"/>
      <c r="D208"/>
      <c r="E208"/>
      <c r="F208"/>
      <c r="G208"/>
    </row>
    <row r="209" spans="1:7" x14ac:dyDescent="0.4">
      <c r="A209" t="s">
        <v>147</v>
      </c>
      <c r="B209">
        <v>24</v>
      </c>
      <c r="C209"/>
      <c r="D209"/>
      <c r="E209"/>
      <c r="F209"/>
      <c r="G209"/>
    </row>
    <row r="210" spans="1:7" x14ac:dyDescent="0.4">
      <c r="A210" t="s">
        <v>133</v>
      </c>
      <c r="B210">
        <v>7</v>
      </c>
      <c r="C210"/>
      <c r="D210"/>
      <c r="E210"/>
      <c r="F210"/>
      <c r="G210"/>
    </row>
    <row r="211" spans="1:7" x14ac:dyDescent="0.4">
      <c r="A211" t="s">
        <v>134</v>
      </c>
      <c r="B211">
        <v>3</v>
      </c>
      <c r="C211"/>
      <c r="D211"/>
      <c r="E211"/>
      <c r="F211"/>
      <c r="G211"/>
    </row>
    <row r="212" spans="1:7" x14ac:dyDescent="0.4">
      <c r="A212" t="s">
        <v>141</v>
      </c>
      <c r="B212">
        <v>3</v>
      </c>
      <c r="C212">
        <v>0</v>
      </c>
      <c r="D212">
        <v>3</v>
      </c>
      <c r="E212">
        <v>0</v>
      </c>
      <c r="F212">
        <v>1</v>
      </c>
      <c r="G212">
        <v>0</v>
      </c>
    </row>
    <row r="213" spans="1:7" x14ac:dyDescent="0.4">
      <c r="A213" t="s">
        <v>142</v>
      </c>
      <c r="B213">
        <v>2</v>
      </c>
      <c r="C213">
        <v>0</v>
      </c>
      <c r="D213">
        <v>2</v>
      </c>
      <c r="E213">
        <v>0</v>
      </c>
      <c r="F213">
        <v>0</v>
      </c>
      <c r="G213">
        <v>1</v>
      </c>
    </row>
    <row r="214" spans="1:7" x14ac:dyDescent="0.4">
      <c r="A214" t="s">
        <v>143</v>
      </c>
      <c r="B214">
        <v>2</v>
      </c>
      <c r="C214">
        <v>2</v>
      </c>
      <c r="D214">
        <v>4</v>
      </c>
      <c r="E214">
        <v>0</v>
      </c>
      <c r="F214">
        <v>1</v>
      </c>
      <c r="G214">
        <v>0</v>
      </c>
    </row>
    <row r="215" spans="1:7" x14ac:dyDescent="0.4">
      <c r="A215" t="s">
        <v>144</v>
      </c>
      <c r="B215"/>
      <c r="C215"/>
      <c r="D215"/>
      <c r="E215"/>
      <c r="F215"/>
      <c r="G215"/>
    </row>
    <row r="216" spans="1:7" x14ac:dyDescent="0.4">
      <c r="A216" t="s">
        <v>145</v>
      </c>
      <c r="B216"/>
      <c r="C216"/>
      <c r="D216"/>
      <c r="E216"/>
      <c r="F216"/>
      <c r="G216"/>
    </row>
    <row r="217" spans="1:7" x14ac:dyDescent="0.4">
      <c r="A217" t="s">
        <v>146</v>
      </c>
      <c r="B217"/>
      <c r="C217"/>
      <c r="D217"/>
      <c r="E217"/>
      <c r="F217"/>
      <c r="G217"/>
    </row>
    <row r="218" spans="1:7" x14ac:dyDescent="0.4">
      <c r="A218" t="s">
        <v>147</v>
      </c>
      <c r="B218">
        <v>25</v>
      </c>
      <c r="C218"/>
      <c r="D218"/>
      <c r="E218"/>
      <c r="F218"/>
      <c r="G218"/>
    </row>
    <row r="219" spans="1:7" x14ac:dyDescent="0.4">
      <c r="A219" t="s">
        <v>133</v>
      </c>
      <c r="B219">
        <v>12</v>
      </c>
      <c r="C219"/>
      <c r="D219"/>
      <c r="E219"/>
      <c r="F219"/>
      <c r="G219"/>
    </row>
    <row r="220" spans="1:7" x14ac:dyDescent="0.4">
      <c r="A220" t="s">
        <v>134</v>
      </c>
      <c r="B220">
        <v>4</v>
      </c>
      <c r="C220"/>
      <c r="D220"/>
      <c r="E220"/>
      <c r="F220"/>
      <c r="G220"/>
    </row>
    <row r="221" spans="1:7" x14ac:dyDescent="0.4">
      <c r="A221" t="s">
        <v>141</v>
      </c>
      <c r="B221">
        <v>2</v>
      </c>
      <c r="C221">
        <v>0</v>
      </c>
      <c r="D221">
        <v>2</v>
      </c>
      <c r="E221">
        <v>0</v>
      </c>
      <c r="F221">
        <v>1</v>
      </c>
      <c r="G221">
        <v>0</v>
      </c>
    </row>
    <row r="222" spans="1:7" x14ac:dyDescent="0.4">
      <c r="A222" t="s">
        <v>142</v>
      </c>
      <c r="B222">
        <v>3</v>
      </c>
      <c r="C222">
        <v>0</v>
      </c>
      <c r="D222">
        <v>3</v>
      </c>
      <c r="E222">
        <v>0</v>
      </c>
      <c r="F222">
        <v>0</v>
      </c>
      <c r="G222">
        <v>1</v>
      </c>
    </row>
    <row r="223" spans="1:7" x14ac:dyDescent="0.4">
      <c r="A223" t="s">
        <v>143</v>
      </c>
      <c r="B223">
        <v>3</v>
      </c>
      <c r="C223">
        <v>0</v>
      </c>
      <c r="D223">
        <v>3</v>
      </c>
      <c r="E223">
        <v>1</v>
      </c>
      <c r="F223">
        <v>0</v>
      </c>
      <c r="G223">
        <v>0</v>
      </c>
    </row>
    <row r="224" spans="1:7" x14ac:dyDescent="0.4">
      <c r="A224" t="s">
        <v>144</v>
      </c>
      <c r="B224">
        <v>4</v>
      </c>
      <c r="C224">
        <v>3</v>
      </c>
      <c r="D224">
        <v>7</v>
      </c>
      <c r="E224">
        <v>0</v>
      </c>
      <c r="F224">
        <v>1</v>
      </c>
      <c r="G224">
        <v>0</v>
      </c>
    </row>
    <row r="225" spans="1:7" x14ac:dyDescent="0.4">
      <c r="A225" t="s">
        <v>145</v>
      </c>
      <c r="B225"/>
      <c r="C225"/>
      <c r="D225"/>
      <c r="E225"/>
      <c r="F225"/>
      <c r="G225"/>
    </row>
    <row r="226" spans="1:7" x14ac:dyDescent="0.4">
      <c r="A226" t="s">
        <v>146</v>
      </c>
      <c r="B226"/>
      <c r="C226"/>
      <c r="D226"/>
      <c r="E226"/>
      <c r="F226"/>
      <c r="G226"/>
    </row>
    <row r="227" spans="1:7" x14ac:dyDescent="0.4">
      <c r="A227" t="s">
        <v>147</v>
      </c>
      <c r="B227">
        <v>26</v>
      </c>
      <c r="C227"/>
      <c r="D227"/>
      <c r="E227"/>
      <c r="F227"/>
      <c r="G227"/>
    </row>
    <row r="228" spans="1:7" x14ac:dyDescent="0.4">
      <c r="A228" t="s">
        <v>133</v>
      </c>
      <c r="B228">
        <v>13</v>
      </c>
      <c r="C228"/>
      <c r="D228"/>
      <c r="E228"/>
      <c r="F228"/>
      <c r="G228"/>
    </row>
    <row r="229" spans="1:7" x14ac:dyDescent="0.4">
      <c r="A229" t="s">
        <v>134</v>
      </c>
      <c r="B229">
        <v>6</v>
      </c>
      <c r="C229"/>
      <c r="D229"/>
      <c r="E229"/>
      <c r="F229"/>
      <c r="G229"/>
    </row>
    <row r="230" spans="1:7" x14ac:dyDescent="0.4">
      <c r="A230" t="s">
        <v>141</v>
      </c>
      <c r="B230">
        <v>3</v>
      </c>
      <c r="C230">
        <v>0</v>
      </c>
      <c r="D230">
        <v>3</v>
      </c>
      <c r="E230">
        <v>0</v>
      </c>
      <c r="F230">
        <v>0</v>
      </c>
      <c r="G230">
        <v>1</v>
      </c>
    </row>
    <row r="231" spans="1:7" x14ac:dyDescent="0.4">
      <c r="A231" t="s">
        <v>142</v>
      </c>
      <c r="B231">
        <v>4</v>
      </c>
      <c r="C231">
        <v>3</v>
      </c>
      <c r="D231">
        <v>7</v>
      </c>
      <c r="E231">
        <v>0</v>
      </c>
      <c r="F231">
        <v>1</v>
      </c>
      <c r="G231">
        <v>0</v>
      </c>
    </row>
    <row r="232" spans="1:7" x14ac:dyDescent="0.4">
      <c r="A232" t="s">
        <v>143</v>
      </c>
      <c r="B232">
        <v>2</v>
      </c>
      <c r="C232">
        <v>0</v>
      </c>
      <c r="D232">
        <v>2</v>
      </c>
      <c r="E232">
        <v>0</v>
      </c>
      <c r="F232">
        <v>0</v>
      </c>
      <c r="G232">
        <v>1</v>
      </c>
    </row>
    <row r="233" spans="1:7" x14ac:dyDescent="0.4">
      <c r="A233" t="s">
        <v>144</v>
      </c>
      <c r="B233">
        <v>2</v>
      </c>
      <c r="C233">
        <v>0</v>
      </c>
      <c r="D233">
        <v>2</v>
      </c>
      <c r="E233">
        <v>0</v>
      </c>
      <c r="F233">
        <v>0</v>
      </c>
      <c r="G233">
        <v>1</v>
      </c>
    </row>
    <row r="234" spans="1:7" x14ac:dyDescent="0.4">
      <c r="A234" t="s">
        <v>145</v>
      </c>
      <c r="B234">
        <v>1</v>
      </c>
      <c r="C234">
        <v>0</v>
      </c>
      <c r="D234">
        <v>1</v>
      </c>
      <c r="E234">
        <v>0</v>
      </c>
      <c r="F234">
        <v>1</v>
      </c>
      <c r="G234">
        <v>0</v>
      </c>
    </row>
    <row r="235" spans="1:7" x14ac:dyDescent="0.4">
      <c r="A235" t="s">
        <v>146</v>
      </c>
      <c r="B235">
        <v>1</v>
      </c>
      <c r="C235">
        <v>2</v>
      </c>
      <c r="D235">
        <v>3</v>
      </c>
      <c r="E235">
        <v>1</v>
      </c>
      <c r="F235">
        <v>0</v>
      </c>
      <c r="G235">
        <v>0</v>
      </c>
    </row>
    <row r="236" spans="1:7" x14ac:dyDescent="0.4">
      <c r="A236" t="s">
        <v>147</v>
      </c>
      <c r="B236">
        <v>27</v>
      </c>
      <c r="C236"/>
      <c r="D236"/>
      <c r="E236"/>
      <c r="F236"/>
      <c r="G236"/>
    </row>
    <row r="237" spans="1:7" x14ac:dyDescent="0.4">
      <c r="A237" t="s">
        <v>133</v>
      </c>
      <c r="B237">
        <v>9</v>
      </c>
      <c r="C237"/>
      <c r="D237"/>
      <c r="E237"/>
      <c r="F237"/>
      <c r="G237"/>
    </row>
    <row r="238" spans="1:7" x14ac:dyDescent="0.4">
      <c r="A238" t="s">
        <v>134</v>
      </c>
      <c r="B238">
        <v>3</v>
      </c>
      <c r="C238"/>
      <c r="D238"/>
      <c r="E238"/>
      <c r="F238"/>
      <c r="G238"/>
    </row>
    <row r="239" spans="1:7" x14ac:dyDescent="0.4">
      <c r="A239" t="s">
        <v>141</v>
      </c>
      <c r="B239">
        <v>3</v>
      </c>
      <c r="C239">
        <v>0</v>
      </c>
      <c r="D239">
        <v>3</v>
      </c>
      <c r="E239">
        <v>0</v>
      </c>
      <c r="F239">
        <v>1</v>
      </c>
      <c r="G239">
        <v>0</v>
      </c>
    </row>
    <row r="240" spans="1:7" x14ac:dyDescent="0.4">
      <c r="A240" t="s">
        <v>142</v>
      </c>
      <c r="B240">
        <v>2</v>
      </c>
      <c r="C240">
        <v>0</v>
      </c>
      <c r="D240">
        <v>2</v>
      </c>
      <c r="E240">
        <v>0</v>
      </c>
      <c r="F240">
        <v>1</v>
      </c>
      <c r="G240">
        <v>0</v>
      </c>
    </row>
    <row r="241" spans="1:7" x14ac:dyDescent="0.4">
      <c r="A241" t="s">
        <v>143</v>
      </c>
      <c r="B241">
        <v>4</v>
      </c>
      <c r="C241">
        <v>0</v>
      </c>
      <c r="D241">
        <v>4</v>
      </c>
      <c r="E241">
        <v>0</v>
      </c>
      <c r="F241">
        <v>1</v>
      </c>
      <c r="G241">
        <v>0</v>
      </c>
    </row>
    <row r="242" spans="1:7" x14ac:dyDescent="0.4">
      <c r="A242" t="s">
        <v>144</v>
      </c>
      <c r="B242"/>
      <c r="C242"/>
      <c r="D242"/>
      <c r="E242"/>
      <c r="F242"/>
      <c r="G242"/>
    </row>
    <row r="243" spans="1:7" x14ac:dyDescent="0.4">
      <c r="A243" t="s">
        <v>145</v>
      </c>
      <c r="B243"/>
      <c r="C243"/>
      <c r="D243"/>
      <c r="E243"/>
      <c r="F243"/>
      <c r="G243"/>
    </row>
    <row r="244" spans="1:7" x14ac:dyDescent="0.4">
      <c r="A244" t="s">
        <v>146</v>
      </c>
      <c r="B244"/>
      <c r="C244"/>
      <c r="D244"/>
      <c r="E244"/>
      <c r="F244"/>
      <c r="G244"/>
    </row>
    <row r="245" spans="1:7" x14ac:dyDescent="0.4">
      <c r="A245" t="s">
        <v>147</v>
      </c>
      <c r="B245">
        <v>28</v>
      </c>
      <c r="C245"/>
      <c r="D245"/>
      <c r="E245"/>
      <c r="F245"/>
      <c r="G245"/>
    </row>
    <row r="246" spans="1:7" x14ac:dyDescent="0.4">
      <c r="A246" t="s">
        <v>133</v>
      </c>
      <c r="B246">
        <v>4</v>
      </c>
      <c r="C246"/>
      <c r="D246"/>
      <c r="E246"/>
      <c r="F246"/>
      <c r="G246"/>
    </row>
    <row r="247" spans="1:7" x14ac:dyDescent="0.4">
      <c r="A247" t="s">
        <v>134</v>
      </c>
      <c r="B247">
        <v>2</v>
      </c>
      <c r="C247"/>
      <c r="D247"/>
      <c r="E247"/>
      <c r="F247"/>
      <c r="G247"/>
    </row>
    <row r="248" spans="1:7" x14ac:dyDescent="0.4">
      <c r="A248" t="s">
        <v>141</v>
      </c>
      <c r="B248">
        <v>3</v>
      </c>
      <c r="C248">
        <v>0</v>
      </c>
      <c r="D248">
        <v>3</v>
      </c>
      <c r="E248">
        <v>0</v>
      </c>
      <c r="F248">
        <v>1</v>
      </c>
      <c r="G248">
        <v>0</v>
      </c>
    </row>
    <row r="249" spans="1:7" x14ac:dyDescent="0.4">
      <c r="A249" t="s">
        <v>142</v>
      </c>
      <c r="B249">
        <v>1</v>
      </c>
      <c r="C249">
        <v>3</v>
      </c>
      <c r="D249">
        <v>4</v>
      </c>
      <c r="E249">
        <v>0</v>
      </c>
      <c r="F249">
        <v>0</v>
      </c>
      <c r="G249">
        <v>1</v>
      </c>
    </row>
    <row r="250" spans="1:7" x14ac:dyDescent="0.4">
      <c r="A250" t="s">
        <v>143</v>
      </c>
      <c r="B250"/>
      <c r="C250"/>
      <c r="D250"/>
      <c r="E250"/>
      <c r="F250"/>
      <c r="G250"/>
    </row>
    <row r="251" spans="1:7" x14ac:dyDescent="0.4">
      <c r="A251" t="s">
        <v>144</v>
      </c>
      <c r="B251"/>
      <c r="C251"/>
      <c r="D251"/>
      <c r="E251"/>
      <c r="F251"/>
      <c r="G251"/>
    </row>
    <row r="252" spans="1:7" x14ac:dyDescent="0.4">
      <c r="A252" t="s">
        <v>145</v>
      </c>
      <c r="B252"/>
      <c r="C252"/>
      <c r="D252"/>
      <c r="E252"/>
      <c r="F252"/>
      <c r="G252"/>
    </row>
    <row r="253" spans="1:7" x14ac:dyDescent="0.4">
      <c r="A253" t="s">
        <v>146</v>
      </c>
      <c r="B253"/>
      <c r="C253"/>
      <c r="D253"/>
      <c r="E253"/>
      <c r="F253"/>
      <c r="G253"/>
    </row>
    <row r="254" spans="1:7" x14ac:dyDescent="0.4">
      <c r="A254" t="s">
        <v>147</v>
      </c>
      <c r="B254">
        <v>29</v>
      </c>
      <c r="C254"/>
      <c r="D254"/>
      <c r="E254"/>
      <c r="F254"/>
      <c r="G254"/>
    </row>
    <row r="255" spans="1:7" x14ac:dyDescent="0.4">
      <c r="A255" t="s">
        <v>133</v>
      </c>
      <c r="B255">
        <v>17</v>
      </c>
      <c r="C255"/>
      <c r="D255"/>
      <c r="E255"/>
      <c r="F255"/>
      <c r="G255"/>
    </row>
    <row r="256" spans="1:7" x14ac:dyDescent="0.4">
      <c r="A256" t="s">
        <v>134</v>
      </c>
      <c r="B256">
        <v>6</v>
      </c>
      <c r="C256"/>
      <c r="D256"/>
      <c r="E256"/>
      <c r="F256"/>
      <c r="G256"/>
    </row>
    <row r="257" spans="1:7" x14ac:dyDescent="0.4">
      <c r="A257" t="s">
        <v>141</v>
      </c>
      <c r="B257">
        <v>4</v>
      </c>
      <c r="C257">
        <v>0</v>
      </c>
      <c r="D257">
        <v>4</v>
      </c>
      <c r="E257">
        <v>0</v>
      </c>
      <c r="F257">
        <v>0</v>
      </c>
      <c r="G257">
        <v>1</v>
      </c>
    </row>
    <row r="258" spans="1:7" x14ac:dyDescent="0.4">
      <c r="A258" t="s">
        <v>142</v>
      </c>
      <c r="B258">
        <v>2</v>
      </c>
      <c r="C258">
        <v>0</v>
      </c>
      <c r="D258">
        <v>2</v>
      </c>
      <c r="E258">
        <v>0</v>
      </c>
      <c r="F258">
        <v>0</v>
      </c>
      <c r="G258">
        <v>1</v>
      </c>
    </row>
    <row r="259" spans="1:7" x14ac:dyDescent="0.4">
      <c r="A259" t="s">
        <v>143</v>
      </c>
      <c r="B259">
        <v>1</v>
      </c>
      <c r="C259">
        <v>0</v>
      </c>
      <c r="D259">
        <v>1</v>
      </c>
      <c r="E259">
        <v>1</v>
      </c>
      <c r="F259">
        <v>0</v>
      </c>
      <c r="G259">
        <v>0</v>
      </c>
    </row>
    <row r="260" spans="1:7" x14ac:dyDescent="0.4">
      <c r="A260" t="s">
        <v>144</v>
      </c>
      <c r="B260">
        <v>3</v>
      </c>
      <c r="C260">
        <v>0</v>
      </c>
      <c r="D260">
        <v>3</v>
      </c>
      <c r="E260">
        <v>0</v>
      </c>
      <c r="F260">
        <v>1</v>
      </c>
      <c r="G260">
        <v>0</v>
      </c>
    </row>
    <row r="261" spans="1:7" x14ac:dyDescent="0.4">
      <c r="A261" t="s">
        <v>145</v>
      </c>
      <c r="B261">
        <v>3</v>
      </c>
      <c r="C261">
        <v>3</v>
      </c>
      <c r="D261">
        <v>6</v>
      </c>
      <c r="E261">
        <v>0</v>
      </c>
      <c r="F261">
        <v>1</v>
      </c>
      <c r="G261">
        <v>0</v>
      </c>
    </row>
    <row r="262" spans="1:7" x14ac:dyDescent="0.4">
      <c r="A262" t="s">
        <v>146</v>
      </c>
      <c r="B262">
        <v>4</v>
      </c>
      <c r="C262">
        <v>0</v>
      </c>
      <c r="D262">
        <v>4</v>
      </c>
      <c r="E262">
        <v>1</v>
      </c>
      <c r="F262">
        <v>0</v>
      </c>
      <c r="G262">
        <v>0</v>
      </c>
    </row>
    <row r="263" spans="1:7" x14ac:dyDescent="0.4">
      <c r="A263" t="s">
        <v>147</v>
      </c>
      <c r="B263">
        <v>30</v>
      </c>
      <c r="C263"/>
      <c r="D263"/>
      <c r="E263"/>
      <c r="F263"/>
      <c r="G263"/>
    </row>
    <row r="264" spans="1:7" x14ac:dyDescent="0.4">
      <c r="A264" t="s">
        <v>133</v>
      </c>
      <c r="B264">
        <v>16</v>
      </c>
      <c r="C264"/>
      <c r="D264"/>
      <c r="E264"/>
      <c r="F264"/>
      <c r="G264"/>
    </row>
    <row r="265" spans="1:7" x14ac:dyDescent="0.4">
      <c r="A265" t="s">
        <v>134</v>
      </c>
      <c r="B265">
        <v>5</v>
      </c>
      <c r="C265"/>
      <c r="D265"/>
      <c r="E265"/>
      <c r="F265"/>
      <c r="G265"/>
    </row>
    <row r="266" spans="1:7" x14ac:dyDescent="0.4">
      <c r="A266" t="s">
        <v>141</v>
      </c>
      <c r="B266">
        <v>3</v>
      </c>
      <c r="C266">
        <v>0</v>
      </c>
      <c r="D266">
        <v>3</v>
      </c>
      <c r="E266">
        <v>0</v>
      </c>
      <c r="F266">
        <v>0</v>
      </c>
      <c r="G266">
        <v>1</v>
      </c>
    </row>
    <row r="267" spans="1:7" x14ac:dyDescent="0.4">
      <c r="A267" t="s">
        <v>142</v>
      </c>
      <c r="B267">
        <v>2</v>
      </c>
      <c r="C267">
        <v>3</v>
      </c>
      <c r="D267">
        <v>5</v>
      </c>
      <c r="E267">
        <v>1</v>
      </c>
      <c r="F267">
        <v>0</v>
      </c>
      <c r="G267">
        <v>0</v>
      </c>
    </row>
    <row r="268" spans="1:7" x14ac:dyDescent="0.4">
      <c r="A268" t="s">
        <v>143</v>
      </c>
      <c r="B268">
        <v>4</v>
      </c>
      <c r="C268">
        <v>0</v>
      </c>
      <c r="D268">
        <v>4</v>
      </c>
      <c r="E268">
        <v>0</v>
      </c>
      <c r="F268">
        <v>1</v>
      </c>
      <c r="G268">
        <v>0</v>
      </c>
    </row>
    <row r="269" spans="1:7" x14ac:dyDescent="0.4">
      <c r="A269" t="s">
        <v>144</v>
      </c>
      <c r="B269">
        <v>3</v>
      </c>
      <c r="C269">
        <v>0</v>
      </c>
      <c r="D269">
        <v>3</v>
      </c>
      <c r="E269">
        <v>1</v>
      </c>
      <c r="F269">
        <v>0</v>
      </c>
      <c r="G269">
        <v>0</v>
      </c>
    </row>
    <row r="270" spans="1:7" x14ac:dyDescent="0.4">
      <c r="A270" t="s">
        <v>145</v>
      </c>
      <c r="B270">
        <v>4</v>
      </c>
      <c r="C270">
        <v>4</v>
      </c>
      <c r="D270">
        <v>8</v>
      </c>
      <c r="E270">
        <v>0</v>
      </c>
      <c r="F270">
        <v>1</v>
      </c>
      <c r="G270">
        <v>0</v>
      </c>
    </row>
    <row r="271" spans="1:7" x14ac:dyDescent="0.4">
      <c r="A271" t="s">
        <v>146</v>
      </c>
      <c r="B271"/>
      <c r="C271"/>
      <c r="D271"/>
      <c r="E271"/>
      <c r="F271"/>
      <c r="G271"/>
    </row>
    <row r="272" spans="1:7" x14ac:dyDescent="0.4">
      <c r="A272" t="s">
        <v>147</v>
      </c>
      <c r="B272">
        <v>31</v>
      </c>
      <c r="C272"/>
      <c r="D272"/>
      <c r="E272"/>
      <c r="F272"/>
      <c r="G272"/>
    </row>
    <row r="273" spans="1:7" x14ac:dyDescent="0.4">
      <c r="A273" t="s">
        <v>133</v>
      </c>
      <c r="B273">
        <v>12</v>
      </c>
      <c r="C273"/>
      <c r="D273"/>
      <c r="E273"/>
      <c r="F273"/>
      <c r="G273"/>
    </row>
    <row r="274" spans="1:7" x14ac:dyDescent="0.4">
      <c r="A274" t="s">
        <v>134</v>
      </c>
      <c r="B274">
        <v>5</v>
      </c>
      <c r="C274"/>
      <c r="D274"/>
      <c r="E274"/>
      <c r="F274"/>
      <c r="G274"/>
    </row>
    <row r="275" spans="1:7" x14ac:dyDescent="0.4">
      <c r="A275" t="s">
        <v>141</v>
      </c>
      <c r="B275">
        <v>1</v>
      </c>
      <c r="C275">
        <v>0</v>
      </c>
      <c r="D275">
        <v>1</v>
      </c>
      <c r="E275">
        <v>1</v>
      </c>
      <c r="F275">
        <v>0</v>
      </c>
      <c r="G275">
        <v>0</v>
      </c>
    </row>
    <row r="276" spans="1:7" x14ac:dyDescent="0.4">
      <c r="A276" t="s">
        <v>142</v>
      </c>
      <c r="B276">
        <v>2</v>
      </c>
      <c r="C276">
        <v>0</v>
      </c>
      <c r="D276">
        <v>2</v>
      </c>
      <c r="E276">
        <v>0</v>
      </c>
      <c r="F276">
        <v>0</v>
      </c>
      <c r="G276">
        <v>1</v>
      </c>
    </row>
    <row r="277" spans="1:7" x14ac:dyDescent="0.4">
      <c r="A277" t="s">
        <v>143</v>
      </c>
      <c r="B277">
        <v>4</v>
      </c>
      <c r="C277">
        <v>0</v>
      </c>
      <c r="D277">
        <v>4</v>
      </c>
      <c r="E277">
        <v>0</v>
      </c>
      <c r="F277">
        <v>1</v>
      </c>
      <c r="G277">
        <v>0</v>
      </c>
    </row>
    <row r="278" spans="1:7" x14ac:dyDescent="0.4">
      <c r="A278" t="s">
        <v>144</v>
      </c>
      <c r="B278">
        <v>2</v>
      </c>
      <c r="C278">
        <v>4</v>
      </c>
      <c r="D278">
        <v>6</v>
      </c>
      <c r="E278">
        <v>1</v>
      </c>
      <c r="F278">
        <v>0</v>
      </c>
      <c r="G278">
        <v>0</v>
      </c>
    </row>
    <row r="279" spans="1:7" x14ac:dyDescent="0.4">
      <c r="A279" t="s">
        <v>145</v>
      </c>
      <c r="B279">
        <v>3</v>
      </c>
      <c r="C279">
        <v>6</v>
      </c>
      <c r="D279">
        <v>9</v>
      </c>
      <c r="E279">
        <v>0</v>
      </c>
      <c r="F279">
        <v>1</v>
      </c>
      <c r="G279">
        <v>0</v>
      </c>
    </row>
    <row r="280" spans="1:7" x14ac:dyDescent="0.4">
      <c r="A280" t="s">
        <v>146</v>
      </c>
      <c r="B280"/>
      <c r="C280"/>
      <c r="D280"/>
      <c r="E280"/>
      <c r="F280"/>
      <c r="G280"/>
    </row>
    <row r="281" spans="1:7" x14ac:dyDescent="0.4">
      <c r="A281" t="s">
        <v>147</v>
      </c>
      <c r="B281">
        <v>32</v>
      </c>
      <c r="C281"/>
      <c r="D281"/>
      <c r="E281"/>
      <c r="F281"/>
      <c r="G281"/>
    </row>
    <row r="282" spans="1:7" x14ac:dyDescent="0.4">
      <c r="A282" t="s">
        <v>133</v>
      </c>
      <c r="B282">
        <v>14</v>
      </c>
      <c r="C282"/>
      <c r="D282"/>
      <c r="E282"/>
      <c r="F282"/>
      <c r="G282"/>
    </row>
    <row r="283" spans="1:7" x14ac:dyDescent="0.4">
      <c r="A283" t="s">
        <v>134</v>
      </c>
      <c r="B283">
        <v>6</v>
      </c>
      <c r="C283"/>
      <c r="D283"/>
      <c r="E283"/>
      <c r="F283"/>
      <c r="G283"/>
    </row>
    <row r="284" spans="1:7" x14ac:dyDescent="0.4">
      <c r="A284" t="s">
        <v>141</v>
      </c>
      <c r="B284">
        <v>2</v>
      </c>
      <c r="C284">
        <v>0</v>
      </c>
      <c r="D284">
        <v>2</v>
      </c>
      <c r="E284">
        <v>0</v>
      </c>
      <c r="F284">
        <v>1</v>
      </c>
      <c r="G284">
        <v>0</v>
      </c>
    </row>
    <row r="285" spans="1:7" x14ac:dyDescent="0.4">
      <c r="A285" t="s">
        <v>142</v>
      </c>
      <c r="B285">
        <v>2</v>
      </c>
      <c r="C285">
        <v>0</v>
      </c>
      <c r="D285">
        <v>2</v>
      </c>
      <c r="E285">
        <v>0</v>
      </c>
      <c r="F285">
        <v>0</v>
      </c>
      <c r="G285">
        <v>1</v>
      </c>
    </row>
    <row r="286" spans="1:7" x14ac:dyDescent="0.4">
      <c r="A286" t="s">
        <v>143</v>
      </c>
      <c r="B286">
        <v>3</v>
      </c>
      <c r="C286">
        <v>2</v>
      </c>
      <c r="D286">
        <v>5</v>
      </c>
      <c r="E286">
        <v>0</v>
      </c>
      <c r="F286">
        <v>1</v>
      </c>
      <c r="G286">
        <v>0</v>
      </c>
    </row>
    <row r="287" spans="1:7" x14ac:dyDescent="0.4">
      <c r="A287" t="s">
        <v>144</v>
      </c>
      <c r="B287">
        <v>1</v>
      </c>
      <c r="C287">
        <v>0</v>
      </c>
      <c r="D287">
        <v>1</v>
      </c>
      <c r="E287">
        <v>0</v>
      </c>
      <c r="F287">
        <v>1</v>
      </c>
      <c r="G287">
        <v>0</v>
      </c>
    </row>
    <row r="288" spans="1:7" x14ac:dyDescent="0.4">
      <c r="A288" t="s">
        <v>145</v>
      </c>
      <c r="B288">
        <v>2</v>
      </c>
      <c r="C288">
        <v>1</v>
      </c>
      <c r="D288">
        <v>3</v>
      </c>
      <c r="E288">
        <v>0</v>
      </c>
      <c r="F288">
        <v>0</v>
      </c>
      <c r="G288">
        <v>1</v>
      </c>
    </row>
    <row r="289" spans="1:7" x14ac:dyDescent="0.4">
      <c r="A289" t="s">
        <v>146</v>
      </c>
      <c r="B289">
        <v>4</v>
      </c>
      <c r="C289">
        <v>0</v>
      </c>
      <c r="D289">
        <v>4</v>
      </c>
      <c r="E289">
        <v>0</v>
      </c>
      <c r="F289">
        <v>1</v>
      </c>
      <c r="G289">
        <v>0</v>
      </c>
    </row>
    <row r="290" spans="1:7" x14ac:dyDescent="0.4">
      <c r="A290" t="s">
        <v>147</v>
      </c>
      <c r="B290">
        <v>33</v>
      </c>
      <c r="C290"/>
      <c r="D290"/>
      <c r="E290"/>
      <c r="F290"/>
      <c r="G290"/>
    </row>
    <row r="291" spans="1:7" x14ac:dyDescent="0.4">
      <c r="A291" t="s">
        <v>133</v>
      </c>
      <c r="B291">
        <v>2</v>
      </c>
      <c r="C291"/>
      <c r="D291"/>
      <c r="E291"/>
      <c r="F291"/>
      <c r="G291"/>
    </row>
    <row r="292" spans="1:7" x14ac:dyDescent="0.4">
      <c r="A292" t="s">
        <v>134</v>
      </c>
      <c r="B292">
        <v>1</v>
      </c>
      <c r="C292"/>
      <c r="D292"/>
      <c r="E292"/>
      <c r="F292"/>
      <c r="G292"/>
    </row>
    <row r="293" spans="1:7" x14ac:dyDescent="0.4">
      <c r="A293" t="s">
        <v>141</v>
      </c>
      <c r="B293">
        <v>2</v>
      </c>
      <c r="C293">
        <v>0</v>
      </c>
      <c r="D293">
        <v>2</v>
      </c>
      <c r="E293">
        <v>0</v>
      </c>
      <c r="F293">
        <v>0</v>
      </c>
      <c r="G293">
        <v>1</v>
      </c>
    </row>
    <row r="294" spans="1:7" x14ac:dyDescent="0.4">
      <c r="A294" t="s">
        <v>142</v>
      </c>
      <c r="B294"/>
      <c r="C294"/>
      <c r="D294"/>
      <c r="E294"/>
      <c r="F294"/>
      <c r="G294"/>
    </row>
    <row r="295" spans="1:7" x14ac:dyDescent="0.4">
      <c r="A295" t="s">
        <v>143</v>
      </c>
      <c r="B295"/>
      <c r="C295"/>
      <c r="D295"/>
      <c r="E295"/>
      <c r="F295"/>
      <c r="G295"/>
    </row>
    <row r="296" spans="1:7" x14ac:dyDescent="0.4">
      <c r="A296" t="s">
        <v>144</v>
      </c>
      <c r="B296"/>
      <c r="C296"/>
      <c r="D296"/>
      <c r="E296"/>
      <c r="F296"/>
      <c r="G296"/>
    </row>
    <row r="297" spans="1:7" x14ac:dyDescent="0.4">
      <c r="A297" t="s">
        <v>145</v>
      </c>
      <c r="B297"/>
      <c r="C297"/>
      <c r="D297"/>
      <c r="E297"/>
      <c r="F297"/>
      <c r="G297"/>
    </row>
    <row r="298" spans="1:7" x14ac:dyDescent="0.4">
      <c r="A298" t="s">
        <v>146</v>
      </c>
      <c r="B298"/>
      <c r="C298"/>
      <c r="D298"/>
      <c r="E298"/>
      <c r="F298"/>
      <c r="G298"/>
    </row>
    <row r="299" spans="1:7" x14ac:dyDescent="0.4">
      <c r="A299" t="s">
        <v>147</v>
      </c>
      <c r="B299">
        <v>34</v>
      </c>
      <c r="C299"/>
      <c r="D299"/>
      <c r="E299"/>
      <c r="F299"/>
      <c r="G299"/>
    </row>
    <row r="300" spans="1:7" x14ac:dyDescent="0.4">
      <c r="A300" t="s">
        <v>133</v>
      </c>
      <c r="B300">
        <v>19</v>
      </c>
      <c r="C300"/>
      <c r="D300"/>
      <c r="E300"/>
      <c r="F300"/>
      <c r="G300"/>
    </row>
    <row r="301" spans="1:7" x14ac:dyDescent="0.4">
      <c r="A301" t="s">
        <v>134</v>
      </c>
      <c r="B301">
        <v>6</v>
      </c>
      <c r="C301"/>
      <c r="D301"/>
      <c r="E301"/>
      <c r="F301"/>
      <c r="G301"/>
    </row>
    <row r="302" spans="1:7" x14ac:dyDescent="0.4">
      <c r="A302" t="s">
        <v>141</v>
      </c>
      <c r="B302">
        <v>4</v>
      </c>
      <c r="C302">
        <v>0</v>
      </c>
      <c r="D302">
        <v>4</v>
      </c>
      <c r="E302">
        <v>0</v>
      </c>
      <c r="F302">
        <v>1</v>
      </c>
      <c r="G302">
        <v>0</v>
      </c>
    </row>
    <row r="303" spans="1:7" x14ac:dyDescent="0.4">
      <c r="A303" t="s">
        <v>142</v>
      </c>
      <c r="B303">
        <v>2</v>
      </c>
      <c r="C303">
        <v>0</v>
      </c>
      <c r="D303">
        <v>2</v>
      </c>
      <c r="E303">
        <v>1</v>
      </c>
      <c r="F303">
        <v>0</v>
      </c>
      <c r="G303">
        <v>0</v>
      </c>
    </row>
    <row r="304" spans="1:7" x14ac:dyDescent="0.4">
      <c r="A304" t="s">
        <v>143</v>
      </c>
      <c r="B304">
        <v>4</v>
      </c>
      <c r="C304">
        <v>0</v>
      </c>
      <c r="D304">
        <v>4</v>
      </c>
      <c r="E304">
        <v>0</v>
      </c>
      <c r="F304">
        <v>1</v>
      </c>
      <c r="G304">
        <v>0</v>
      </c>
    </row>
    <row r="305" spans="1:7" x14ac:dyDescent="0.4">
      <c r="A305" t="s">
        <v>144</v>
      </c>
      <c r="B305">
        <v>3</v>
      </c>
      <c r="C305">
        <v>4</v>
      </c>
      <c r="D305">
        <v>7</v>
      </c>
      <c r="E305">
        <v>0</v>
      </c>
      <c r="F305">
        <v>1</v>
      </c>
      <c r="G305">
        <v>0</v>
      </c>
    </row>
    <row r="306" spans="1:7" x14ac:dyDescent="0.4">
      <c r="A306" t="s">
        <v>145</v>
      </c>
      <c r="B306">
        <v>3</v>
      </c>
      <c r="C306">
        <v>7</v>
      </c>
      <c r="D306">
        <v>10</v>
      </c>
      <c r="E306">
        <v>1</v>
      </c>
      <c r="F306">
        <v>0</v>
      </c>
      <c r="G306">
        <v>0</v>
      </c>
    </row>
    <row r="307" spans="1:7" x14ac:dyDescent="0.4">
      <c r="A307" t="s">
        <v>146</v>
      </c>
      <c r="B307">
        <v>3</v>
      </c>
      <c r="C307">
        <v>10</v>
      </c>
      <c r="D307">
        <v>13</v>
      </c>
      <c r="E307">
        <v>1</v>
      </c>
      <c r="F307">
        <v>0</v>
      </c>
      <c r="G307">
        <v>0</v>
      </c>
    </row>
    <row r="308" spans="1:7" x14ac:dyDescent="0.4">
      <c r="A308" t="s">
        <v>147</v>
      </c>
      <c r="B308">
        <v>35</v>
      </c>
      <c r="C308"/>
      <c r="D308"/>
      <c r="E308"/>
      <c r="F308"/>
      <c r="G308"/>
    </row>
    <row r="309" spans="1:7" x14ac:dyDescent="0.4">
      <c r="A309" t="s">
        <v>133</v>
      </c>
      <c r="B309">
        <v>1</v>
      </c>
      <c r="C309"/>
      <c r="D309"/>
      <c r="E309"/>
      <c r="F309"/>
      <c r="G309"/>
    </row>
    <row r="310" spans="1:7" x14ac:dyDescent="0.4">
      <c r="A310" t="s">
        <v>134</v>
      </c>
      <c r="B310">
        <v>1</v>
      </c>
      <c r="C310"/>
      <c r="D310"/>
      <c r="E310"/>
      <c r="F310"/>
      <c r="G310"/>
    </row>
    <row r="311" spans="1:7" x14ac:dyDescent="0.4">
      <c r="A311" t="s">
        <v>141</v>
      </c>
      <c r="B311">
        <v>1</v>
      </c>
      <c r="C311">
        <v>0</v>
      </c>
      <c r="D311">
        <v>1</v>
      </c>
      <c r="E311">
        <v>0</v>
      </c>
      <c r="F311">
        <v>1</v>
      </c>
      <c r="G311">
        <v>0</v>
      </c>
    </row>
    <row r="312" spans="1:7" x14ac:dyDescent="0.4">
      <c r="A312" t="s">
        <v>142</v>
      </c>
      <c r="B312"/>
      <c r="C312"/>
      <c r="D312"/>
      <c r="E312"/>
      <c r="F312"/>
      <c r="G312"/>
    </row>
    <row r="313" spans="1:7" x14ac:dyDescent="0.4">
      <c r="A313" t="s">
        <v>143</v>
      </c>
      <c r="B313"/>
      <c r="C313"/>
      <c r="D313"/>
      <c r="E313"/>
      <c r="F313"/>
      <c r="G313"/>
    </row>
    <row r="314" spans="1:7" x14ac:dyDescent="0.4">
      <c r="A314" t="s">
        <v>144</v>
      </c>
      <c r="B314"/>
      <c r="C314"/>
      <c r="D314"/>
      <c r="E314"/>
      <c r="F314"/>
      <c r="G314"/>
    </row>
    <row r="315" spans="1:7" x14ac:dyDescent="0.4">
      <c r="A315" t="s">
        <v>145</v>
      </c>
      <c r="B315"/>
      <c r="C315"/>
      <c r="D315"/>
      <c r="E315"/>
      <c r="F315"/>
      <c r="G315"/>
    </row>
    <row r="316" spans="1:7" x14ac:dyDescent="0.4">
      <c r="A316" t="s">
        <v>146</v>
      </c>
      <c r="B316"/>
      <c r="C316"/>
      <c r="D316"/>
      <c r="E316"/>
      <c r="F316"/>
      <c r="G316"/>
    </row>
    <row r="317" spans="1:7" x14ac:dyDescent="0.4">
      <c r="A317" t="s">
        <v>147</v>
      </c>
      <c r="B317">
        <v>36</v>
      </c>
      <c r="C317"/>
      <c r="D317"/>
      <c r="E317"/>
      <c r="F317"/>
      <c r="G317"/>
    </row>
    <row r="318" spans="1:7" x14ac:dyDescent="0.4">
      <c r="A318" t="s">
        <v>133</v>
      </c>
      <c r="B318">
        <v>7</v>
      </c>
      <c r="C318"/>
      <c r="D318"/>
      <c r="E318"/>
      <c r="F318"/>
      <c r="G318"/>
    </row>
    <row r="319" spans="1:7" x14ac:dyDescent="0.4">
      <c r="A319" t="s">
        <v>134</v>
      </c>
      <c r="B319">
        <v>3</v>
      </c>
      <c r="C319"/>
      <c r="D319"/>
      <c r="E319"/>
      <c r="F319"/>
      <c r="G319"/>
    </row>
    <row r="320" spans="1:7" x14ac:dyDescent="0.4">
      <c r="A320" t="s">
        <v>141</v>
      </c>
      <c r="B320">
        <v>2</v>
      </c>
      <c r="C320">
        <v>0</v>
      </c>
      <c r="D320">
        <v>2</v>
      </c>
      <c r="E320">
        <v>1</v>
      </c>
      <c r="F320">
        <v>0</v>
      </c>
      <c r="G320">
        <v>0</v>
      </c>
    </row>
    <row r="321" spans="1:7" x14ac:dyDescent="0.4">
      <c r="A321" t="s">
        <v>142</v>
      </c>
      <c r="B321">
        <v>2</v>
      </c>
      <c r="C321">
        <v>0</v>
      </c>
      <c r="D321">
        <v>2</v>
      </c>
      <c r="E321">
        <v>0</v>
      </c>
      <c r="F321">
        <v>1</v>
      </c>
      <c r="G321">
        <v>0</v>
      </c>
    </row>
    <row r="322" spans="1:7" x14ac:dyDescent="0.4">
      <c r="A322" t="s">
        <v>143</v>
      </c>
      <c r="B322">
        <v>3</v>
      </c>
      <c r="C322">
        <v>2</v>
      </c>
      <c r="D322">
        <v>5</v>
      </c>
      <c r="E322">
        <v>0</v>
      </c>
      <c r="F322">
        <v>0</v>
      </c>
      <c r="G322">
        <v>1</v>
      </c>
    </row>
    <row r="323" spans="1:7" x14ac:dyDescent="0.4">
      <c r="A323" t="s">
        <v>144</v>
      </c>
      <c r="B323"/>
      <c r="C323"/>
      <c r="D323"/>
      <c r="E323"/>
      <c r="F323"/>
      <c r="G323"/>
    </row>
    <row r="324" spans="1:7" x14ac:dyDescent="0.4">
      <c r="A324" t="s">
        <v>145</v>
      </c>
      <c r="B324"/>
      <c r="C324"/>
      <c r="D324"/>
      <c r="E324"/>
      <c r="F324"/>
      <c r="G324"/>
    </row>
    <row r="325" spans="1:7" x14ac:dyDescent="0.4">
      <c r="A325" t="s">
        <v>146</v>
      </c>
      <c r="B325"/>
      <c r="C325"/>
      <c r="D325"/>
      <c r="E325"/>
      <c r="F325"/>
      <c r="G325"/>
    </row>
    <row r="326" spans="1:7" x14ac:dyDescent="0.4">
      <c r="A326" t="s">
        <v>147</v>
      </c>
      <c r="B326">
        <v>37</v>
      </c>
      <c r="C326"/>
      <c r="D326"/>
      <c r="E326"/>
      <c r="F326"/>
      <c r="G326"/>
    </row>
    <row r="327" spans="1:7" x14ac:dyDescent="0.4">
      <c r="A327" t="s">
        <v>133</v>
      </c>
      <c r="B327">
        <v>4</v>
      </c>
      <c r="C327"/>
      <c r="D327"/>
      <c r="E327"/>
      <c r="F327"/>
      <c r="G327"/>
    </row>
    <row r="328" spans="1:7" x14ac:dyDescent="0.4">
      <c r="A328" t="s">
        <v>134</v>
      </c>
      <c r="B328">
        <v>1</v>
      </c>
      <c r="C328"/>
      <c r="D328"/>
      <c r="E328"/>
      <c r="F328"/>
      <c r="G328"/>
    </row>
    <row r="329" spans="1:7" x14ac:dyDescent="0.4">
      <c r="A329" t="s">
        <v>141</v>
      </c>
      <c r="B329">
        <v>4</v>
      </c>
      <c r="C329">
        <v>0</v>
      </c>
      <c r="D329">
        <v>4</v>
      </c>
      <c r="E329">
        <v>0</v>
      </c>
      <c r="F329">
        <v>0</v>
      </c>
      <c r="G329">
        <v>1</v>
      </c>
    </row>
    <row r="330" spans="1:7" x14ac:dyDescent="0.4">
      <c r="A330" t="s">
        <v>142</v>
      </c>
      <c r="B330"/>
      <c r="C330"/>
      <c r="D330"/>
      <c r="E330"/>
      <c r="F330"/>
      <c r="G330"/>
    </row>
    <row r="331" spans="1:7" x14ac:dyDescent="0.4">
      <c r="A331" t="s">
        <v>143</v>
      </c>
      <c r="B331"/>
      <c r="C331"/>
      <c r="D331"/>
      <c r="E331"/>
      <c r="F331"/>
      <c r="G331"/>
    </row>
    <row r="332" spans="1:7" x14ac:dyDescent="0.4">
      <c r="A332" t="s">
        <v>144</v>
      </c>
      <c r="B332"/>
      <c r="C332"/>
      <c r="D332"/>
      <c r="E332"/>
      <c r="F332"/>
      <c r="G332"/>
    </row>
    <row r="333" spans="1:7" x14ac:dyDescent="0.4">
      <c r="A333" t="s">
        <v>145</v>
      </c>
      <c r="B333"/>
      <c r="C333"/>
      <c r="D333"/>
      <c r="E333"/>
      <c r="F333"/>
      <c r="G333"/>
    </row>
    <row r="334" spans="1:7" x14ac:dyDescent="0.4">
      <c r="A334" t="s">
        <v>146</v>
      </c>
      <c r="B334"/>
      <c r="C334"/>
      <c r="D334"/>
      <c r="E334"/>
      <c r="F334"/>
      <c r="G334"/>
    </row>
    <row r="335" spans="1:7" x14ac:dyDescent="0.4">
      <c r="A335" t="s">
        <v>147</v>
      </c>
      <c r="B335">
        <v>38</v>
      </c>
      <c r="C335"/>
      <c r="D335"/>
      <c r="E335"/>
      <c r="F335"/>
      <c r="G335"/>
    </row>
    <row r="336" spans="1:7" x14ac:dyDescent="0.4">
      <c r="A336" t="s">
        <v>133</v>
      </c>
      <c r="B336">
        <v>13</v>
      </c>
      <c r="C336"/>
      <c r="D336"/>
      <c r="E336"/>
      <c r="F336"/>
      <c r="G336"/>
    </row>
    <row r="337" spans="1:7" x14ac:dyDescent="0.4">
      <c r="A337" t="s">
        <v>134</v>
      </c>
      <c r="B337">
        <v>6</v>
      </c>
      <c r="C337"/>
      <c r="D337"/>
      <c r="E337"/>
      <c r="F337"/>
      <c r="G337"/>
    </row>
    <row r="338" spans="1:7" x14ac:dyDescent="0.4">
      <c r="A338" t="s">
        <v>141</v>
      </c>
      <c r="B338">
        <v>4</v>
      </c>
      <c r="C338">
        <v>0</v>
      </c>
      <c r="D338">
        <v>4</v>
      </c>
      <c r="E338">
        <v>0</v>
      </c>
      <c r="F338">
        <v>1</v>
      </c>
      <c r="G338">
        <v>0</v>
      </c>
    </row>
    <row r="339" spans="1:7" x14ac:dyDescent="0.4">
      <c r="A339" t="s">
        <v>142</v>
      </c>
      <c r="B339">
        <v>1</v>
      </c>
      <c r="C339">
        <v>0</v>
      </c>
      <c r="D339">
        <v>1</v>
      </c>
      <c r="E339">
        <v>1</v>
      </c>
      <c r="F339">
        <v>0</v>
      </c>
      <c r="G339">
        <v>0</v>
      </c>
    </row>
    <row r="340" spans="1:7" x14ac:dyDescent="0.4">
      <c r="A340" t="s">
        <v>143</v>
      </c>
      <c r="B340">
        <v>1</v>
      </c>
      <c r="C340">
        <v>0</v>
      </c>
      <c r="D340">
        <v>1</v>
      </c>
      <c r="E340">
        <v>0</v>
      </c>
      <c r="F340">
        <v>1</v>
      </c>
      <c r="G340">
        <v>0</v>
      </c>
    </row>
    <row r="341" spans="1:7" x14ac:dyDescent="0.4">
      <c r="A341" t="s">
        <v>144</v>
      </c>
      <c r="B341">
        <v>4</v>
      </c>
      <c r="C341">
        <v>1</v>
      </c>
      <c r="D341">
        <v>5</v>
      </c>
      <c r="E341">
        <v>0</v>
      </c>
      <c r="F341">
        <v>0</v>
      </c>
      <c r="G341">
        <v>1</v>
      </c>
    </row>
    <row r="342" spans="1:7" x14ac:dyDescent="0.4">
      <c r="A342" t="s">
        <v>145</v>
      </c>
      <c r="B342">
        <v>2</v>
      </c>
      <c r="C342">
        <v>0</v>
      </c>
      <c r="D342">
        <v>2</v>
      </c>
      <c r="E342">
        <v>0</v>
      </c>
      <c r="F342">
        <v>1</v>
      </c>
      <c r="G342">
        <v>0</v>
      </c>
    </row>
    <row r="343" spans="1:7" x14ac:dyDescent="0.4">
      <c r="A343" t="s">
        <v>146</v>
      </c>
      <c r="B343">
        <v>1</v>
      </c>
      <c r="C343">
        <v>0</v>
      </c>
      <c r="D343">
        <v>1</v>
      </c>
      <c r="E343">
        <v>0</v>
      </c>
      <c r="F343">
        <v>0</v>
      </c>
      <c r="G343">
        <v>1</v>
      </c>
    </row>
    <row r="344" spans="1:7" x14ac:dyDescent="0.4">
      <c r="A344" t="s">
        <v>147</v>
      </c>
      <c r="B344">
        <v>39</v>
      </c>
      <c r="C344"/>
      <c r="D344"/>
      <c r="E344"/>
      <c r="F344"/>
      <c r="G344"/>
    </row>
    <row r="345" spans="1:7" x14ac:dyDescent="0.4">
      <c r="A345" t="s">
        <v>133</v>
      </c>
      <c r="B345">
        <v>6</v>
      </c>
      <c r="C345"/>
      <c r="D345"/>
      <c r="E345"/>
      <c r="F345"/>
      <c r="G345"/>
    </row>
    <row r="346" spans="1:7" x14ac:dyDescent="0.4">
      <c r="A346" t="s">
        <v>134</v>
      </c>
      <c r="B346">
        <v>2</v>
      </c>
      <c r="C346"/>
      <c r="D346"/>
      <c r="E346"/>
      <c r="F346"/>
      <c r="G346"/>
    </row>
    <row r="347" spans="1:7" x14ac:dyDescent="0.4">
      <c r="A347" t="s">
        <v>141</v>
      </c>
      <c r="B347">
        <v>2</v>
      </c>
      <c r="C347">
        <v>0</v>
      </c>
      <c r="D347">
        <v>2</v>
      </c>
      <c r="E347">
        <v>0</v>
      </c>
      <c r="F347">
        <v>1</v>
      </c>
      <c r="G347">
        <v>0</v>
      </c>
    </row>
    <row r="348" spans="1:7" x14ac:dyDescent="0.4">
      <c r="A348" t="s">
        <v>142</v>
      </c>
      <c r="B348">
        <v>4</v>
      </c>
      <c r="C348">
        <v>2</v>
      </c>
      <c r="D348">
        <v>6</v>
      </c>
      <c r="E348">
        <v>0</v>
      </c>
      <c r="F348">
        <v>1</v>
      </c>
      <c r="G348">
        <v>0</v>
      </c>
    </row>
    <row r="349" spans="1:7" x14ac:dyDescent="0.4">
      <c r="A349" t="s">
        <v>143</v>
      </c>
      <c r="B349"/>
      <c r="C349"/>
      <c r="D349"/>
      <c r="E349"/>
      <c r="F349"/>
      <c r="G349"/>
    </row>
    <row r="350" spans="1:7" x14ac:dyDescent="0.4">
      <c r="A350" t="s">
        <v>144</v>
      </c>
      <c r="B350"/>
      <c r="C350"/>
      <c r="D350"/>
      <c r="E350"/>
      <c r="F350"/>
      <c r="G350"/>
    </row>
    <row r="351" spans="1:7" x14ac:dyDescent="0.4">
      <c r="A351" t="s">
        <v>145</v>
      </c>
      <c r="B351"/>
      <c r="C351"/>
      <c r="D351"/>
      <c r="E351"/>
      <c r="F351"/>
      <c r="G351"/>
    </row>
    <row r="352" spans="1:7" x14ac:dyDescent="0.4">
      <c r="A352" t="s">
        <v>146</v>
      </c>
      <c r="B352"/>
      <c r="C352"/>
      <c r="D352"/>
      <c r="E352"/>
      <c r="F352"/>
      <c r="G352"/>
    </row>
    <row r="353" spans="1:7" x14ac:dyDescent="0.4">
      <c r="A353" t="s">
        <v>147</v>
      </c>
      <c r="B353">
        <v>40</v>
      </c>
      <c r="C353"/>
      <c r="D353"/>
      <c r="E353"/>
      <c r="F353"/>
      <c r="G353"/>
    </row>
    <row r="354" spans="1:7" x14ac:dyDescent="0.4">
      <c r="A354" t="s">
        <v>133</v>
      </c>
      <c r="B354">
        <v>18</v>
      </c>
      <c r="C354"/>
      <c r="D354"/>
      <c r="E354"/>
      <c r="F354"/>
      <c r="G354"/>
    </row>
    <row r="355" spans="1:7" x14ac:dyDescent="0.4">
      <c r="A355" t="s">
        <v>134</v>
      </c>
      <c r="B355">
        <v>6</v>
      </c>
      <c r="C355"/>
      <c r="D355"/>
      <c r="E355"/>
      <c r="F355"/>
      <c r="G355"/>
    </row>
    <row r="356" spans="1:7" x14ac:dyDescent="0.4">
      <c r="A356" t="s">
        <v>141</v>
      </c>
      <c r="B356">
        <v>4</v>
      </c>
      <c r="C356">
        <v>0</v>
      </c>
      <c r="D356">
        <v>4</v>
      </c>
      <c r="E356">
        <v>1</v>
      </c>
      <c r="F356">
        <v>0</v>
      </c>
      <c r="G356">
        <v>0</v>
      </c>
    </row>
    <row r="357" spans="1:7" x14ac:dyDescent="0.4">
      <c r="A357" t="s">
        <v>142</v>
      </c>
      <c r="B357">
        <v>2</v>
      </c>
      <c r="C357">
        <v>4</v>
      </c>
      <c r="D357">
        <v>6</v>
      </c>
      <c r="E357">
        <v>0</v>
      </c>
      <c r="F357">
        <v>1</v>
      </c>
      <c r="G357">
        <v>0</v>
      </c>
    </row>
    <row r="358" spans="1:7" x14ac:dyDescent="0.4">
      <c r="A358" t="s">
        <v>143</v>
      </c>
      <c r="B358">
        <v>1</v>
      </c>
      <c r="C358">
        <v>0</v>
      </c>
      <c r="D358">
        <v>1</v>
      </c>
      <c r="E358">
        <v>0</v>
      </c>
      <c r="F358">
        <v>1</v>
      </c>
      <c r="G358">
        <v>0</v>
      </c>
    </row>
    <row r="359" spans="1:7" x14ac:dyDescent="0.4">
      <c r="A359" t="s">
        <v>144</v>
      </c>
      <c r="B359">
        <v>3</v>
      </c>
      <c r="C359">
        <v>6</v>
      </c>
      <c r="D359">
        <v>9</v>
      </c>
      <c r="E359">
        <v>0</v>
      </c>
      <c r="F359">
        <v>1</v>
      </c>
      <c r="G359">
        <v>0</v>
      </c>
    </row>
    <row r="360" spans="1:7" x14ac:dyDescent="0.4">
      <c r="A360" t="s">
        <v>145</v>
      </c>
      <c r="B360">
        <v>4</v>
      </c>
      <c r="C360">
        <v>0</v>
      </c>
      <c r="D360">
        <v>4</v>
      </c>
      <c r="E360">
        <v>0</v>
      </c>
      <c r="F360">
        <v>1</v>
      </c>
      <c r="G360">
        <v>0</v>
      </c>
    </row>
    <row r="361" spans="1:7" x14ac:dyDescent="0.4">
      <c r="A361" t="s">
        <v>146</v>
      </c>
      <c r="B361">
        <v>4</v>
      </c>
      <c r="C361">
        <v>0</v>
      </c>
      <c r="D361">
        <v>4</v>
      </c>
      <c r="E361">
        <v>0</v>
      </c>
      <c r="F361">
        <v>1</v>
      </c>
      <c r="G361">
        <v>0</v>
      </c>
    </row>
    <row r="362" spans="1:7" x14ac:dyDescent="0.4">
      <c r="A362" t="s">
        <v>147</v>
      </c>
      <c r="B362">
        <v>41</v>
      </c>
      <c r="C362"/>
      <c r="D362"/>
      <c r="E362"/>
      <c r="F362"/>
      <c r="G362"/>
    </row>
    <row r="363" spans="1:7" x14ac:dyDescent="0.4">
      <c r="A363" t="s">
        <v>133</v>
      </c>
      <c r="B363">
        <v>7</v>
      </c>
      <c r="C363"/>
      <c r="D363"/>
      <c r="E363"/>
      <c r="F363"/>
      <c r="G363"/>
    </row>
    <row r="364" spans="1:7" x14ac:dyDescent="0.4">
      <c r="A364" t="s">
        <v>134</v>
      </c>
      <c r="B364">
        <v>4</v>
      </c>
      <c r="C364"/>
      <c r="D364"/>
      <c r="E364"/>
      <c r="F364"/>
      <c r="G364"/>
    </row>
    <row r="365" spans="1:7" x14ac:dyDescent="0.4">
      <c r="A365" t="s">
        <v>141</v>
      </c>
      <c r="B365">
        <v>1</v>
      </c>
      <c r="C365">
        <v>0</v>
      </c>
      <c r="D365">
        <v>1</v>
      </c>
      <c r="E365">
        <v>0</v>
      </c>
      <c r="F365">
        <v>0</v>
      </c>
      <c r="G365">
        <v>1</v>
      </c>
    </row>
    <row r="366" spans="1:7" x14ac:dyDescent="0.4">
      <c r="A366" t="s">
        <v>142</v>
      </c>
      <c r="B366">
        <v>2</v>
      </c>
      <c r="C366">
        <v>1</v>
      </c>
      <c r="D366">
        <v>3</v>
      </c>
      <c r="E366">
        <v>0</v>
      </c>
      <c r="F366">
        <v>1</v>
      </c>
      <c r="G366">
        <v>0</v>
      </c>
    </row>
    <row r="367" spans="1:7" x14ac:dyDescent="0.4">
      <c r="A367" t="s">
        <v>143</v>
      </c>
      <c r="B367">
        <v>1</v>
      </c>
      <c r="C367">
        <v>3</v>
      </c>
      <c r="D367">
        <v>4</v>
      </c>
      <c r="E367">
        <v>0</v>
      </c>
      <c r="F367">
        <v>1</v>
      </c>
      <c r="G367">
        <v>0</v>
      </c>
    </row>
    <row r="368" spans="1:7" x14ac:dyDescent="0.4">
      <c r="A368" t="s">
        <v>144</v>
      </c>
      <c r="B368">
        <v>3</v>
      </c>
      <c r="C368">
        <v>4</v>
      </c>
      <c r="D368">
        <v>7</v>
      </c>
      <c r="E368">
        <v>0</v>
      </c>
      <c r="F368">
        <v>1</v>
      </c>
      <c r="G368">
        <v>0</v>
      </c>
    </row>
    <row r="369" spans="1:7" x14ac:dyDescent="0.4">
      <c r="A369" t="s">
        <v>145</v>
      </c>
      <c r="B369"/>
      <c r="C369"/>
      <c r="D369"/>
      <c r="E369"/>
      <c r="F369"/>
      <c r="G369"/>
    </row>
    <row r="370" spans="1:7" x14ac:dyDescent="0.4">
      <c r="A370" t="s">
        <v>146</v>
      </c>
      <c r="B370"/>
      <c r="C370"/>
      <c r="D370"/>
      <c r="E370"/>
      <c r="F370"/>
      <c r="G370"/>
    </row>
    <row r="371" spans="1:7" x14ac:dyDescent="0.4">
      <c r="A371" t="s">
        <v>147</v>
      </c>
      <c r="B371">
        <v>42</v>
      </c>
      <c r="C371"/>
      <c r="D371"/>
      <c r="E371"/>
      <c r="F371"/>
      <c r="G371"/>
    </row>
    <row r="372" spans="1:7" x14ac:dyDescent="0.4">
      <c r="A372" t="s">
        <v>133</v>
      </c>
      <c r="B372">
        <v>12</v>
      </c>
      <c r="C372"/>
      <c r="D372"/>
      <c r="E372"/>
      <c r="F372"/>
      <c r="G372"/>
    </row>
    <row r="373" spans="1:7" x14ac:dyDescent="0.4">
      <c r="A373" t="s">
        <v>134</v>
      </c>
      <c r="B373">
        <v>4</v>
      </c>
      <c r="C373"/>
      <c r="D373"/>
      <c r="E373"/>
      <c r="F373"/>
      <c r="G373"/>
    </row>
    <row r="374" spans="1:7" x14ac:dyDescent="0.4">
      <c r="A374" t="s">
        <v>141</v>
      </c>
      <c r="B374">
        <v>3</v>
      </c>
      <c r="C374">
        <v>0</v>
      </c>
      <c r="D374">
        <v>3</v>
      </c>
      <c r="E374">
        <v>0</v>
      </c>
      <c r="F374">
        <v>1</v>
      </c>
      <c r="G374">
        <v>0</v>
      </c>
    </row>
    <row r="375" spans="1:7" x14ac:dyDescent="0.4">
      <c r="A375" t="s">
        <v>142</v>
      </c>
      <c r="B375">
        <v>3</v>
      </c>
      <c r="C375">
        <v>3</v>
      </c>
      <c r="D375">
        <v>6</v>
      </c>
      <c r="E375">
        <v>0</v>
      </c>
      <c r="F375">
        <v>1</v>
      </c>
      <c r="G375">
        <v>0</v>
      </c>
    </row>
    <row r="376" spans="1:7" x14ac:dyDescent="0.4">
      <c r="A376" t="s">
        <v>143</v>
      </c>
      <c r="B376">
        <v>4</v>
      </c>
      <c r="C376">
        <v>0</v>
      </c>
      <c r="D376">
        <v>4</v>
      </c>
      <c r="E376">
        <v>0</v>
      </c>
      <c r="F376">
        <v>1</v>
      </c>
      <c r="G376">
        <v>0</v>
      </c>
    </row>
    <row r="377" spans="1:7" x14ac:dyDescent="0.4">
      <c r="A377" t="s">
        <v>144</v>
      </c>
      <c r="B377">
        <v>2</v>
      </c>
      <c r="C377">
        <v>0</v>
      </c>
      <c r="D377">
        <v>2</v>
      </c>
      <c r="E377">
        <v>0</v>
      </c>
      <c r="F377">
        <v>1</v>
      </c>
      <c r="G377">
        <v>0</v>
      </c>
    </row>
    <row r="378" spans="1:7" x14ac:dyDescent="0.4">
      <c r="A378" t="s">
        <v>145</v>
      </c>
      <c r="B378"/>
      <c r="C378"/>
      <c r="D378"/>
      <c r="E378"/>
      <c r="F378"/>
      <c r="G378"/>
    </row>
    <row r="379" spans="1:7" x14ac:dyDescent="0.4">
      <c r="A379" t="s">
        <v>146</v>
      </c>
      <c r="B379"/>
      <c r="C379"/>
      <c r="D379"/>
      <c r="E379"/>
      <c r="F379"/>
      <c r="G379"/>
    </row>
    <row r="380" spans="1:7" x14ac:dyDescent="0.4">
      <c r="A380" t="s">
        <v>147</v>
      </c>
      <c r="B380">
        <v>43</v>
      </c>
      <c r="C380"/>
      <c r="D380"/>
      <c r="E380"/>
      <c r="F380"/>
      <c r="G380"/>
    </row>
    <row r="381" spans="1:7" x14ac:dyDescent="0.4">
      <c r="A381" t="s">
        <v>133</v>
      </c>
      <c r="B381">
        <v>9</v>
      </c>
      <c r="C381"/>
      <c r="D381"/>
      <c r="E381"/>
      <c r="F381"/>
      <c r="G381"/>
    </row>
    <row r="382" spans="1:7" x14ac:dyDescent="0.4">
      <c r="A382" t="s">
        <v>134</v>
      </c>
      <c r="B382">
        <v>4</v>
      </c>
      <c r="C382"/>
      <c r="D382"/>
      <c r="E382"/>
      <c r="F382"/>
      <c r="G382"/>
    </row>
    <row r="383" spans="1:7" x14ac:dyDescent="0.4">
      <c r="A383" t="s">
        <v>141</v>
      </c>
      <c r="B383">
        <v>3</v>
      </c>
      <c r="C383">
        <v>0</v>
      </c>
      <c r="D383">
        <v>3</v>
      </c>
      <c r="E383">
        <v>0</v>
      </c>
      <c r="F383">
        <v>1</v>
      </c>
      <c r="G383">
        <v>0</v>
      </c>
    </row>
    <row r="384" spans="1:7" x14ac:dyDescent="0.4">
      <c r="A384" t="s">
        <v>142</v>
      </c>
      <c r="B384">
        <v>3</v>
      </c>
      <c r="C384">
        <v>3</v>
      </c>
      <c r="D384">
        <v>6</v>
      </c>
      <c r="E384">
        <v>0</v>
      </c>
      <c r="F384">
        <v>1</v>
      </c>
      <c r="G384">
        <v>0</v>
      </c>
    </row>
    <row r="385" spans="1:7" x14ac:dyDescent="0.4">
      <c r="A385" t="s">
        <v>143</v>
      </c>
      <c r="B385">
        <v>1</v>
      </c>
      <c r="C385">
        <v>0</v>
      </c>
      <c r="D385">
        <v>1</v>
      </c>
      <c r="E385">
        <v>0</v>
      </c>
      <c r="F385">
        <v>1</v>
      </c>
      <c r="G385">
        <v>0</v>
      </c>
    </row>
    <row r="386" spans="1:7" x14ac:dyDescent="0.4">
      <c r="A386" t="s">
        <v>144</v>
      </c>
      <c r="B386">
        <v>2</v>
      </c>
      <c r="C386">
        <v>0</v>
      </c>
      <c r="D386">
        <v>2</v>
      </c>
      <c r="E386">
        <v>0</v>
      </c>
      <c r="F386">
        <v>0</v>
      </c>
      <c r="G386">
        <v>1</v>
      </c>
    </row>
    <row r="387" spans="1:7" x14ac:dyDescent="0.4">
      <c r="A387" t="s">
        <v>145</v>
      </c>
      <c r="B387"/>
      <c r="C387"/>
      <c r="D387"/>
      <c r="E387"/>
      <c r="F387"/>
      <c r="G387"/>
    </row>
    <row r="388" spans="1:7" x14ac:dyDescent="0.4">
      <c r="A388" t="s">
        <v>146</v>
      </c>
      <c r="B388"/>
      <c r="C388"/>
      <c r="D388"/>
      <c r="E388"/>
      <c r="F388"/>
      <c r="G388"/>
    </row>
    <row r="389" spans="1:7" x14ac:dyDescent="0.4">
      <c r="A389" t="s">
        <v>147</v>
      </c>
      <c r="B389">
        <v>44</v>
      </c>
      <c r="C389"/>
      <c r="D389"/>
      <c r="E389"/>
      <c r="F389"/>
      <c r="G389"/>
    </row>
    <row r="390" spans="1:7" x14ac:dyDescent="0.4">
      <c r="A390" t="s">
        <v>133</v>
      </c>
      <c r="B390">
        <v>13</v>
      </c>
      <c r="C390"/>
      <c r="D390"/>
      <c r="E390"/>
      <c r="F390"/>
      <c r="G390"/>
    </row>
    <row r="391" spans="1:7" x14ac:dyDescent="0.4">
      <c r="A391" t="s">
        <v>134</v>
      </c>
      <c r="B391">
        <v>6</v>
      </c>
      <c r="C391"/>
      <c r="D391"/>
      <c r="E391"/>
      <c r="F391"/>
      <c r="G391"/>
    </row>
    <row r="392" spans="1:7" x14ac:dyDescent="0.4">
      <c r="A392" t="s">
        <v>141</v>
      </c>
      <c r="B392">
        <v>4</v>
      </c>
      <c r="C392">
        <v>0</v>
      </c>
      <c r="D392">
        <v>4</v>
      </c>
      <c r="E392">
        <v>0</v>
      </c>
      <c r="F392">
        <v>0</v>
      </c>
      <c r="G392">
        <v>1</v>
      </c>
    </row>
    <row r="393" spans="1:7" x14ac:dyDescent="0.4">
      <c r="A393" t="s">
        <v>142</v>
      </c>
      <c r="B393">
        <v>1</v>
      </c>
      <c r="C393">
        <v>0</v>
      </c>
      <c r="D393">
        <v>1</v>
      </c>
      <c r="E393">
        <v>0</v>
      </c>
      <c r="F393">
        <v>1</v>
      </c>
      <c r="G393">
        <v>0</v>
      </c>
    </row>
    <row r="394" spans="1:7" x14ac:dyDescent="0.4">
      <c r="A394" t="s">
        <v>143</v>
      </c>
      <c r="B394">
        <v>2</v>
      </c>
      <c r="C394">
        <v>1</v>
      </c>
      <c r="D394">
        <v>3</v>
      </c>
      <c r="E394">
        <v>0</v>
      </c>
      <c r="F394">
        <v>0</v>
      </c>
      <c r="G394">
        <v>1</v>
      </c>
    </row>
    <row r="395" spans="1:7" x14ac:dyDescent="0.4">
      <c r="A395" t="s">
        <v>144</v>
      </c>
      <c r="B395">
        <v>1</v>
      </c>
      <c r="C395">
        <v>3</v>
      </c>
      <c r="D395">
        <v>4</v>
      </c>
      <c r="E395">
        <v>0</v>
      </c>
      <c r="F395">
        <v>1</v>
      </c>
      <c r="G395">
        <v>0</v>
      </c>
    </row>
    <row r="396" spans="1:7" x14ac:dyDescent="0.4">
      <c r="A396" t="s">
        <v>145</v>
      </c>
      <c r="B396">
        <v>2</v>
      </c>
      <c r="C396">
        <v>0</v>
      </c>
      <c r="D396">
        <v>2</v>
      </c>
      <c r="E396">
        <v>0</v>
      </c>
      <c r="F396">
        <v>0</v>
      </c>
      <c r="G396">
        <v>1</v>
      </c>
    </row>
    <row r="397" spans="1:7" x14ac:dyDescent="0.4">
      <c r="A397" t="s">
        <v>146</v>
      </c>
      <c r="B397">
        <v>3</v>
      </c>
      <c r="C397">
        <v>0</v>
      </c>
      <c r="D397">
        <v>3</v>
      </c>
      <c r="E397">
        <v>0</v>
      </c>
      <c r="F397">
        <v>0</v>
      </c>
      <c r="G397">
        <v>1</v>
      </c>
    </row>
    <row r="398" spans="1:7" x14ac:dyDescent="0.4">
      <c r="A398" t="s">
        <v>147</v>
      </c>
      <c r="B398">
        <v>45</v>
      </c>
      <c r="C398"/>
      <c r="D398"/>
      <c r="E398"/>
      <c r="F398"/>
      <c r="G398"/>
    </row>
    <row r="399" spans="1:7" x14ac:dyDescent="0.4">
      <c r="A399" t="s">
        <v>133</v>
      </c>
      <c r="B399">
        <v>7</v>
      </c>
      <c r="C399"/>
      <c r="D399"/>
      <c r="E399"/>
      <c r="F399"/>
      <c r="G399"/>
    </row>
    <row r="400" spans="1:7" x14ac:dyDescent="0.4">
      <c r="A400" t="s">
        <v>134</v>
      </c>
      <c r="B400">
        <v>3</v>
      </c>
      <c r="C400"/>
      <c r="D400"/>
      <c r="E400"/>
      <c r="F400"/>
      <c r="G400"/>
    </row>
    <row r="401" spans="1:7" x14ac:dyDescent="0.4">
      <c r="A401" t="s">
        <v>141</v>
      </c>
      <c r="B401">
        <v>2</v>
      </c>
      <c r="C401">
        <v>0</v>
      </c>
      <c r="D401">
        <v>2</v>
      </c>
      <c r="E401">
        <v>0</v>
      </c>
      <c r="F401">
        <v>1</v>
      </c>
      <c r="G401">
        <v>0</v>
      </c>
    </row>
    <row r="402" spans="1:7" x14ac:dyDescent="0.4">
      <c r="A402" t="s">
        <v>142</v>
      </c>
      <c r="B402">
        <v>4</v>
      </c>
      <c r="C402">
        <v>2</v>
      </c>
      <c r="D402">
        <v>6</v>
      </c>
      <c r="E402">
        <v>0</v>
      </c>
      <c r="F402">
        <v>1</v>
      </c>
      <c r="G402">
        <v>0</v>
      </c>
    </row>
    <row r="403" spans="1:7" x14ac:dyDescent="0.4">
      <c r="A403" t="s">
        <v>143</v>
      </c>
      <c r="B403">
        <v>1</v>
      </c>
      <c r="C403">
        <v>0</v>
      </c>
      <c r="D403">
        <v>1</v>
      </c>
      <c r="E403">
        <v>0</v>
      </c>
      <c r="F403">
        <v>0</v>
      </c>
      <c r="G403">
        <v>1</v>
      </c>
    </row>
    <row r="404" spans="1:7" x14ac:dyDescent="0.4">
      <c r="A404" t="s">
        <v>144</v>
      </c>
      <c r="B404"/>
      <c r="C404"/>
      <c r="D404"/>
      <c r="E404"/>
      <c r="F404"/>
      <c r="G404"/>
    </row>
    <row r="405" spans="1:7" x14ac:dyDescent="0.4">
      <c r="A405" t="s">
        <v>145</v>
      </c>
      <c r="B405"/>
      <c r="C405"/>
      <c r="D405"/>
      <c r="E405"/>
      <c r="F405"/>
      <c r="G405"/>
    </row>
    <row r="406" spans="1:7" x14ac:dyDescent="0.4">
      <c r="A406" t="s">
        <v>146</v>
      </c>
      <c r="B406"/>
      <c r="C406"/>
      <c r="D406"/>
      <c r="E406"/>
      <c r="F406"/>
      <c r="G406"/>
    </row>
    <row r="407" spans="1:7" x14ac:dyDescent="0.4">
      <c r="A407" t="s">
        <v>147</v>
      </c>
      <c r="B407">
        <v>46</v>
      </c>
      <c r="C407"/>
      <c r="D407"/>
      <c r="E407"/>
      <c r="F407"/>
      <c r="G407"/>
    </row>
    <row r="408" spans="1:7" x14ac:dyDescent="0.4">
      <c r="A408" t="s">
        <v>133</v>
      </c>
      <c r="B408">
        <v>15</v>
      </c>
      <c r="C408"/>
      <c r="D408"/>
      <c r="E408"/>
      <c r="F408"/>
      <c r="G408"/>
    </row>
    <row r="409" spans="1:7" x14ac:dyDescent="0.4">
      <c r="A409" t="s">
        <v>134</v>
      </c>
      <c r="B409">
        <v>6</v>
      </c>
      <c r="C409"/>
      <c r="D409"/>
      <c r="E409"/>
      <c r="F409"/>
      <c r="G409"/>
    </row>
    <row r="410" spans="1:7" x14ac:dyDescent="0.4">
      <c r="A410" t="s">
        <v>141</v>
      </c>
      <c r="B410">
        <v>4</v>
      </c>
      <c r="C410">
        <v>0</v>
      </c>
      <c r="D410">
        <v>4</v>
      </c>
      <c r="E410">
        <v>0</v>
      </c>
      <c r="F410">
        <v>1</v>
      </c>
      <c r="G410">
        <v>0</v>
      </c>
    </row>
    <row r="411" spans="1:7" x14ac:dyDescent="0.4">
      <c r="A411" t="s">
        <v>142</v>
      </c>
      <c r="B411">
        <v>2</v>
      </c>
      <c r="C411">
        <v>0</v>
      </c>
      <c r="D411">
        <v>2</v>
      </c>
      <c r="E411">
        <v>0</v>
      </c>
      <c r="F411">
        <v>1</v>
      </c>
      <c r="G411">
        <v>0</v>
      </c>
    </row>
    <row r="412" spans="1:7" x14ac:dyDescent="0.4">
      <c r="A412" t="s">
        <v>143</v>
      </c>
      <c r="B412">
        <v>2</v>
      </c>
      <c r="C412">
        <v>4</v>
      </c>
      <c r="D412">
        <v>6</v>
      </c>
      <c r="E412">
        <v>0</v>
      </c>
      <c r="F412">
        <v>1</v>
      </c>
      <c r="G412">
        <v>0</v>
      </c>
    </row>
    <row r="413" spans="1:7" x14ac:dyDescent="0.4">
      <c r="A413" t="s">
        <v>144</v>
      </c>
      <c r="B413">
        <v>2</v>
      </c>
      <c r="C413">
        <v>6</v>
      </c>
      <c r="D413">
        <v>8</v>
      </c>
      <c r="E413">
        <v>0</v>
      </c>
      <c r="F413">
        <v>0</v>
      </c>
      <c r="G413">
        <v>1</v>
      </c>
    </row>
    <row r="414" spans="1:7" x14ac:dyDescent="0.4">
      <c r="A414" t="s">
        <v>145</v>
      </c>
      <c r="B414">
        <v>3</v>
      </c>
      <c r="C414">
        <v>0</v>
      </c>
      <c r="D414">
        <v>3</v>
      </c>
      <c r="E414">
        <v>0</v>
      </c>
      <c r="F414">
        <v>0</v>
      </c>
      <c r="G414">
        <v>1</v>
      </c>
    </row>
    <row r="415" spans="1:7" x14ac:dyDescent="0.4">
      <c r="A415" t="s">
        <v>146</v>
      </c>
      <c r="B415">
        <v>2</v>
      </c>
      <c r="C415">
        <v>8</v>
      </c>
      <c r="D415">
        <v>10</v>
      </c>
      <c r="E415">
        <v>0</v>
      </c>
      <c r="F415">
        <v>1</v>
      </c>
      <c r="G415">
        <v>0</v>
      </c>
    </row>
    <row r="416" spans="1:7" x14ac:dyDescent="0.4">
      <c r="A416" t="s">
        <v>147</v>
      </c>
      <c r="B416">
        <v>47</v>
      </c>
      <c r="C416"/>
      <c r="D416"/>
      <c r="E416"/>
      <c r="F416"/>
      <c r="G416"/>
    </row>
    <row r="417" spans="1:7" x14ac:dyDescent="0.4">
      <c r="A417" t="s">
        <v>133</v>
      </c>
      <c r="B417">
        <v>15</v>
      </c>
      <c r="C417"/>
      <c r="D417"/>
      <c r="E417"/>
      <c r="F417"/>
      <c r="G417"/>
    </row>
    <row r="418" spans="1:7" x14ac:dyDescent="0.4">
      <c r="A418" t="s">
        <v>134</v>
      </c>
      <c r="B418">
        <v>6</v>
      </c>
      <c r="C418"/>
      <c r="D418"/>
      <c r="E418"/>
      <c r="F418"/>
      <c r="G418"/>
    </row>
    <row r="419" spans="1:7" x14ac:dyDescent="0.4">
      <c r="A419" t="s">
        <v>141</v>
      </c>
      <c r="B419">
        <v>2</v>
      </c>
      <c r="C419">
        <v>0</v>
      </c>
      <c r="D419">
        <v>2</v>
      </c>
      <c r="E419">
        <v>0</v>
      </c>
      <c r="F419">
        <v>1</v>
      </c>
      <c r="G419">
        <v>0</v>
      </c>
    </row>
    <row r="420" spans="1:7" x14ac:dyDescent="0.4">
      <c r="A420" t="s">
        <v>142</v>
      </c>
      <c r="B420">
        <v>4</v>
      </c>
      <c r="C420">
        <v>0</v>
      </c>
      <c r="D420">
        <v>4</v>
      </c>
      <c r="E420">
        <v>0</v>
      </c>
      <c r="F420">
        <v>0</v>
      </c>
      <c r="G420">
        <v>1</v>
      </c>
    </row>
    <row r="421" spans="1:7" x14ac:dyDescent="0.4">
      <c r="A421" t="s">
        <v>143</v>
      </c>
      <c r="B421">
        <v>2</v>
      </c>
      <c r="C421">
        <v>4</v>
      </c>
      <c r="D421">
        <v>6</v>
      </c>
      <c r="E421">
        <v>0</v>
      </c>
      <c r="F421">
        <v>1</v>
      </c>
      <c r="G421">
        <v>0</v>
      </c>
    </row>
    <row r="422" spans="1:7" x14ac:dyDescent="0.4">
      <c r="A422" t="s">
        <v>144</v>
      </c>
      <c r="B422">
        <v>3</v>
      </c>
      <c r="C422">
        <v>6</v>
      </c>
      <c r="D422">
        <v>9</v>
      </c>
      <c r="E422">
        <v>0</v>
      </c>
      <c r="F422">
        <v>1</v>
      </c>
      <c r="G422">
        <v>0</v>
      </c>
    </row>
    <row r="423" spans="1:7" x14ac:dyDescent="0.4">
      <c r="A423" t="s">
        <v>145</v>
      </c>
      <c r="B423">
        <v>2</v>
      </c>
      <c r="C423">
        <v>0</v>
      </c>
      <c r="D423">
        <v>2</v>
      </c>
      <c r="E423">
        <v>0</v>
      </c>
      <c r="F423">
        <v>1</v>
      </c>
      <c r="G423">
        <v>0</v>
      </c>
    </row>
    <row r="424" spans="1:7" x14ac:dyDescent="0.4">
      <c r="A424" t="s">
        <v>146</v>
      </c>
      <c r="B424">
        <v>2</v>
      </c>
      <c r="C424">
        <v>0</v>
      </c>
      <c r="D424">
        <v>2</v>
      </c>
      <c r="E424">
        <v>0</v>
      </c>
      <c r="F424">
        <v>1</v>
      </c>
      <c r="G424">
        <v>0</v>
      </c>
    </row>
    <row r="425" spans="1:7" x14ac:dyDescent="0.4">
      <c r="A425" t="s">
        <v>147</v>
      </c>
      <c r="B425">
        <v>48</v>
      </c>
      <c r="C425"/>
      <c r="D425"/>
      <c r="E425"/>
      <c r="F425"/>
      <c r="G425"/>
    </row>
    <row r="426" spans="1:7" x14ac:dyDescent="0.4">
      <c r="A426" t="s">
        <v>133</v>
      </c>
      <c r="B426">
        <v>15</v>
      </c>
      <c r="C426"/>
      <c r="D426"/>
      <c r="E426"/>
      <c r="F426"/>
      <c r="G426"/>
    </row>
    <row r="427" spans="1:7" x14ac:dyDescent="0.4">
      <c r="A427" t="s">
        <v>134</v>
      </c>
      <c r="B427">
        <v>5</v>
      </c>
      <c r="C427"/>
      <c r="D427"/>
      <c r="E427"/>
      <c r="F427"/>
      <c r="G427"/>
    </row>
    <row r="428" spans="1:7" x14ac:dyDescent="0.4">
      <c r="A428" t="s">
        <v>141</v>
      </c>
      <c r="B428">
        <v>1</v>
      </c>
      <c r="C428">
        <v>0</v>
      </c>
      <c r="D428">
        <v>1</v>
      </c>
      <c r="E428">
        <v>0</v>
      </c>
      <c r="F428">
        <v>1</v>
      </c>
      <c r="G428">
        <v>0</v>
      </c>
    </row>
    <row r="429" spans="1:7" x14ac:dyDescent="0.4">
      <c r="A429" t="s">
        <v>142</v>
      </c>
      <c r="B429">
        <v>4</v>
      </c>
      <c r="C429">
        <v>0</v>
      </c>
      <c r="D429">
        <v>4</v>
      </c>
      <c r="E429">
        <v>0</v>
      </c>
      <c r="F429">
        <v>1</v>
      </c>
      <c r="G429">
        <v>0</v>
      </c>
    </row>
    <row r="430" spans="1:7" x14ac:dyDescent="0.4">
      <c r="A430" t="s">
        <v>143</v>
      </c>
      <c r="B430">
        <v>4</v>
      </c>
      <c r="C430">
        <v>0</v>
      </c>
      <c r="D430">
        <v>4</v>
      </c>
      <c r="E430">
        <v>1</v>
      </c>
      <c r="F430">
        <v>0</v>
      </c>
      <c r="G430">
        <v>0</v>
      </c>
    </row>
    <row r="431" spans="1:7" x14ac:dyDescent="0.4">
      <c r="A431" t="s">
        <v>144</v>
      </c>
      <c r="B431">
        <v>2</v>
      </c>
      <c r="C431">
        <v>4</v>
      </c>
      <c r="D431">
        <v>6</v>
      </c>
      <c r="E431">
        <v>1</v>
      </c>
      <c r="F431">
        <v>0</v>
      </c>
      <c r="G431">
        <v>0</v>
      </c>
    </row>
    <row r="432" spans="1:7" x14ac:dyDescent="0.4">
      <c r="A432" t="s">
        <v>145</v>
      </c>
      <c r="B432">
        <v>4</v>
      </c>
      <c r="C432">
        <v>0</v>
      </c>
      <c r="D432">
        <v>4</v>
      </c>
      <c r="E432">
        <v>1</v>
      </c>
      <c r="F432">
        <v>0</v>
      </c>
      <c r="G432">
        <v>0</v>
      </c>
    </row>
    <row r="433" spans="1:7" x14ac:dyDescent="0.4">
      <c r="A433" t="s">
        <v>146</v>
      </c>
      <c r="B433"/>
      <c r="C433"/>
      <c r="D433"/>
      <c r="E433"/>
      <c r="F433"/>
      <c r="G433"/>
    </row>
    <row r="434" spans="1:7" x14ac:dyDescent="0.4">
      <c r="A434" t="s">
        <v>147</v>
      </c>
      <c r="B434">
        <v>49</v>
      </c>
      <c r="C434"/>
      <c r="D434"/>
      <c r="E434"/>
      <c r="F434"/>
      <c r="G434"/>
    </row>
    <row r="435" spans="1:7" x14ac:dyDescent="0.4">
      <c r="A435" t="s">
        <v>133</v>
      </c>
      <c r="B435">
        <v>10</v>
      </c>
      <c r="C435"/>
      <c r="D435"/>
      <c r="E435"/>
      <c r="F435"/>
      <c r="G435"/>
    </row>
    <row r="436" spans="1:7" x14ac:dyDescent="0.4">
      <c r="A436" t="s">
        <v>134</v>
      </c>
      <c r="B436">
        <v>5</v>
      </c>
      <c r="C436"/>
      <c r="D436"/>
      <c r="E436"/>
      <c r="F436"/>
      <c r="G436"/>
    </row>
    <row r="437" spans="1:7" x14ac:dyDescent="0.4">
      <c r="A437" t="s">
        <v>141</v>
      </c>
      <c r="B437">
        <v>3</v>
      </c>
      <c r="C437">
        <v>0</v>
      </c>
      <c r="D437">
        <v>3</v>
      </c>
      <c r="E437">
        <v>0</v>
      </c>
      <c r="F437">
        <v>1</v>
      </c>
      <c r="G437">
        <v>0</v>
      </c>
    </row>
    <row r="438" spans="1:7" x14ac:dyDescent="0.4">
      <c r="A438" t="s">
        <v>142</v>
      </c>
      <c r="B438">
        <v>3</v>
      </c>
      <c r="C438">
        <v>3</v>
      </c>
      <c r="D438">
        <v>6</v>
      </c>
      <c r="E438">
        <v>1</v>
      </c>
      <c r="F438">
        <v>0</v>
      </c>
      <c r="G438">
        <v>0</v>
      </c>
    </row>
    <row r="439" spans="1:7" x14ac:dyDescent="0.4">
      <c r="A439" t="s">
        <v>143</v>
      </c>
      <c r="B439">
        <v>1</v>
      </c>
      <c r="C439">
        <v>6</v>
      </c>
      <c r="D439">
        <v>7</v>
      </c>
      <c r="E439">
        <v>0</v>
      </c>
      <c r="F439">
        <v>0</v>
      </c>
      <c r="G439">
        <v>1</v>
      </c>
    </row>
    <row r="440" spans="1:7" x14ac:dyDescent="0.4">
      <c r="A440" t="s">
        <v>144</v>
      </c>
      <c r="B440">
        <v>2</v>
      </c>
      <c r="C440">
        <v>7</v>
      </c>
      <c r="D440">
        <v>9</v>
      </c>
      <c r="E440">
        <v>1</v>
      </c>
      <c r="F440">
        <v>0</v>
      </c>
      <c r="G440">
        <v>0</v>
      </c>
    </row>
    <row r="441" spans="1:7" x14ac:dyDescent="0.4">
      <c r="A441" t="s">
        <v>145</v>
      </c>
      <c r="B441">
        <v>1</v>
      </c>
      <c r="C441">
        <v>0</v>
      </c>
      <c r="D441">
        <v>1</v>
      </c>
      <c r="E441">
        <v>0</v>
      </c>
      <c r="F441">
        <v>1</v>
      </c>
      <c r="G441">
        <v>0</v>
      </c>
    </row>
    <row r="442" spans="1:7" x14ac:dyDescent="0.4">
      <c r="A442" t="s">
        <v>146</v>
      </c>
      <c r="B442"/>
      <c r="C442"/>
      <c r="D442"/>
      <c r="E442"/>
      <c r="F442"/>
      <c r="G442"/>
    </row>
    <row r="443" spans="1:7" x14ac:dyDescent="0.4">
      <c r="A443" t="s">
        <v>147</v>
      </c>
      <c r="B443">
        <v>50</v>
      </c>
      <c r="C443"/>
      <c r="D443"/>
      <c r="E443"/>
      <c r="F443"/>
      <c r="G443"/>
    </row>
    <row r="444" spans="1:7" x14ac:dyDescent="0.4">
      <c r="A444" t="s">
        <v>133</v>
      </c>
      <c r="B444">
        <v>3</v>
      </c>
      <c r="C444"/>
      <c r="D444"/>
      <c r="E444"/>
      <c r="F444"/>
      <c r="G444"/>
    </row>
    <row r="445" spans="1:7" x14ac:dyDescent="0.4">
      <c r="A445" t="s">
        <v>134</v>
      </c>
      <c r="B445">
        <v>2</v>
      </c>
      <c r="C445"/>
      <c r="D445"/>
      <c r="E445"/>
      <c r="F445"/>
      <c r="G445"/>
    </row>
    <row r="446" spans="1:7" x14ac:dyDescent="0.4">
      <c r="A446" t="s">
        <v>141</v>
      </c>
      <c r="B446">
        <v>2</v>
      </c>
      <c r="C446">
        <v>0</v>
      </c>
      <c r="D446">
        <v>2</v>
      </c>
      <c r="E446">
        <v>0</v>
      </c>
      <c r="F446">
        <v>0</v>
      </c>
      <c r="G446">
        <v>1</v>
      </c>
    </row>
    <row r="447" spans="1:7" x14ac:dyDescent="0.4">
      <c r="A447" t="s">
        <v>142</v>
      </c>
      <c r="B447">
        <v>1</v>
      </c>
      <c r="C447">
        <v>0</v>
      </c>
      <c r="D447">
        <v>1</v>
      </c>
      <c r="E447">
        <v>0</v>
      </c>
      <c r="F447">
        <v>0</v>
      </c>
      <c r="G447">
        <v>1</v>
      </c>
    </row>
    <row r="448" spans="1:7" x14ac:dyDescent="0.4">
      <c r="A448" t="s">
        <v>143</v>
      </c>
      <c r="B448"/>
      <c r="C448"/>
      <c r="D448"/>
      <c r="E448"/>
      <c r="F448"/>
      <c r="G448"/>
    </row>
    <row r="449" spans="1:7" x14ac:dyDescent="0.4">
      <c r="A449" t="s">
        <v>144</v>
      </c>
      <c r="B449"/>
      <c r="C449"/>
      <c r="D449"/>
      <c r="E449"/>
      <c r="F449"/>
      <c r="G449"/>
    </row>
    <row r="450" spans="1:7" x14ac:dyDescent="0.4">
      <c r="A450" t="s">
        <v>145</v>
      </c>
      <c r="B450"/>
      <c r="C450"/>
      <c r="D450"/>
      <c r="E450"/>
      <c r="F450"/>
      <c r="G450"/>
    </row>
    <row r="451" spans="1:7" x14ac:dyDescent="0.4">
      <c r="A451" t="s">
        <v>146</v>
      </c>
      <c r="B451"/>
      <c r="C451"/>
      <c r="D451"/>
      <c r="E451"/>
      <c r="F451"/>
      <c r="G451"/>
    </row>
    <row r="452" spans="1:7" x14ac:dyDescent="0.4">
      <c r="A452" t="s">
        <v>147</v>
      </c>
      <c r="B452">
        <v>51</v>
      </c>
      <c r="C452"/>
      <c r="D452"/>
      <c r="E452"/>
      <c r="F452"/>
      <c r="G452"/>
    </row>
    <row r="453" spans="1:7" x14ac:dyDescent="0.4">
      <c r="A453" t="s">
        <v>133</v>
      </c>
      <c r="B453">
        <v>4</v>
      </c>
      <c r="C453"/>
      <c r="D453"/>
      <c r="E453"/>
      <c r="F453"/>
      <c r="G453"/>
    </row>
    <row r="454" spans="1:7" x14ac:dyDescent="0.4">
      <c r="A454" t="s">
        <v>134</v>
      </c>
      <c r="B454">
        <v>1</v>
      </c>
      <c r="C454"/>
      <c r="D454"/>
      <c r="E454"/>
      <c r="F454"/>
      <c r="G454"/>
    </row>
    <row r="455" spans="1:7" x14ac:dyDescent="0.4">
      <c r="A455" t="s">
        <v>141</v>
      </c>
      <c r="B455">
        <v>4</v>
      </c>
      <c r="C455">
        <v>0</v>
      </c>
      <c r="D455">
        <v>4</v>
      </c>
      <c r="E455">
        <v>0</v>
      </c>
      <c r="F455">
        <v>0</v>
      </c>
      <c r="G455">
        <v>1</v>
      </c>
    </row>
    <row r="456" spans="1:7" x14ac:dyDescent="0.4">
      <c r="A456" t="s">
        <v>142</v>
      </c>
      <c r="B456"/>
      <c r="C456"/>
      <c r="D456"/>
      <c r="E456"/>
      <c r="F456"/>
      <c r="G456"/>
    </row>
    <row r="457" spans="1:7" x14ac:dyDescent="0.4">
      <c r="A457" t="s">
        <v>143</v>
      </c>
      <c r="B457"/>
      <c r="C457"/>
      <c r="D457"/>
      <c r="E457"/>
      <c r="F457"/>
      <c r="G457"/>
    </row>
    <row r="458" spans="1:7" x14ac:dyDescent="0.4">
      <c r="A458" t="s">
        <v>144</v>
      </c>
      <c r="B458"/>
      <c r="C458"/>
      <c r="D458"/>
      <c r="E458"/>
      <c r="F458"/>
      <c r="G458"/>
    </row>
    <row r="459" spans="1:7" x14ac:dyDescent="0.4">
      <c r="A459" t="s">
        <v>145</v>
      </c>
      <c r="B459"/>
      <c r="C459"/>
      <c r="D459"/>
      <c r="E459"/>
      <c r="F459"/>
      <c r="G459"/>
    </row>
    <row r="460" spans="1:7" x14ac:dyDescent="0.4">
      <c r="A460" t="s">
        <v>146</v>
      </c>
      <c r="B460"/>
      <c r="C460"/>
      <c r="D460"/>
      <c r="E460"/>
      <c r="F460"/>
      <c r="G460"/>
    </row>
    <row r="461" spans="1:7" x14ac:dyDescent="0.4">
      <c r="A461" t="s">
        <v>147</v>
      </c>
      <c r="B461">
        <v>52</v>
      </c>
      <c r="C461"/>
      <c r="D461"/>
      <c r="E461"/>
      <c r="F461"/>
      <c r="G461"/>
    </row>
    <row r="462" spans="1:7" x14ac:dyDescent="0.4">
      <c r="A462" t="s">
        <v>133</v>
      </c>
      <c r="B462">
        <v>1</v>
      </c>
      <c r="C462"/>
      <c r="D462"/>
      <c r="E462"/>
      <c r="F462"/>
      <c r="G462"/>
    </row>
    <row r="463" spans="1:7" x14ac:dyDescent="0.4">
      <c r="A463" t="s">
        <v>134</v>
      </c>
      <c r="B463">
        <v>1</v>
      </c>
      <c r="C463"/>
      <c r="D463"/>
      <c r="E463"/>
      <c r="F463"/>
      <c r="G463"/>
    </row>
    <row r="464" spans="1:7" x14ac:dyDescent="0.4">
      <c r="A464" t="s">
        <v>141</v>
      </c>
      <c r="B464">
        <v>1</v>
      </c>
      <c r="C464">
        <v>0</v>
      </c>
      <c r="D464">
        <v>1</v>
      </c>
      <c r="E464">
        <v>0</v>
      </c>
      <c r="F464">
        <v>1</v>
      </c>
      <c r="G464">
        <v>0</v>
      </c>
    </row>
    <row r="465" spans="1:7" x14ac:dyDescent="0.4">
      <c r="A465" t="s">
        <v>142</v>
      </c>
      <c r="B465"/>
      <c r="C465"/>
      <c r="D465"/>
      <c r="E465"/>
      <c r="F465"/>
      <c r="G465"/>
    </row>
    <row r="466" spans="1:7" x14ac:dyDescent="0.4">
      <c r="A466" t="s">
        <v>143</v>
      </c>
      <c r="B466"/>
      <c r="C466"/>
      <c r="D466"/>
      <c r="E466"/>
      <c r="F466"/>
      <c r="G466"/>
    </row>
    <row r="467" spans="1:7" x14ac:dyDescent="0.4">
      <c r="A467" t="s">
        <v>144</v>
      </c>
      <c r="B467"/>
      <c r="C467"/>
      <c r="D467"/>
      <c r="E467"/>
      <c r="F467"/>
      <c r="G467"/>
    </row>
    <row r="468" spans="1:7" x14ac:dyDescent="0.4">
      <c r="A468" t="s">
        <v>145</v>
      </c>
      <c r="B468"/>
      <c r="C468"/>
      <c r="D468"/>
      <c r="E468"/>
      <c r="F468"/>
      <c r="G468"/>
    </row>
    <row r="469" spans="1:7" x14ac:dyDescent="0.4">
      <c r="A469" t="s">
        <v>146</v>
      </c>
      <c r="B469"/>
      <c r="C469"/>
      <c r="D469"/>
      <c r="E469"/>
      <c r="F469"/>
      <c r="G469"/>
    </row>
    <row r="470" spans="1:7" x14ac:dyDescent="0.4">
      <c r="A470" t="s">
        <v>147</v>
      </c>
      <c r="B470">
        <v>53</v>
      </c>
      <c r="C470"/>
      <c r="D470"/>
      <c r="E470"/>
      <c r="F470"/>
      <c r="G470"/>
    </row>
    <row r="471" spans="1:7" x14ac:dyDescent="0.4">
      <c r="A471" t="s">
        <v>133</v>
      </c>
      <c r="B471">
        <v>15</v>
      </c>
      <c r="C471"/>
      <c r="D471"/>
      <c r="E471"/>
      <c r="F471"/>
      <c r="G471"/>
    </row>
    <row r="472" spans="1:7" x14ac:dyDescent="0.4">
      <c r="A472" t="s">
        <v>134</v>
      </c>
      <c r="B472">
        <v>5</v>
      </c>
      <c r="C472"/>
      <c r="D472"/>
      <c r="E472"/>
      <c r="F472"/>
      <c r="G472"/>
    </row>
    <row r="473" spans="1:7" x14ac:dyDescent="0.4">
      <c r="A473" t="s">
        <v>141</v>
      </c>
      <c r="B473">
        <v>2</v>
      </c>
      <c r="C473">
        <v>0</v>
      </c>
      <c r="D473">
        <v>2</v>
      </c>
      <c r="E473">
        <v>0</v>
      </c>
      <c r="F473">
        <v>1</v>
      </c>
      <c r="G473">
        <v>0</v>
      </c>
    </row>
    <row r="474" spans="1:7" x14ac:dyDescent="0.4">
      <c r="A474" t="s">
        <v>142</v>
      </c>
      <c r="B474">
        <v>2</v>
      </c>
      <c r="C474">
        <v>2</v>
      </c>
      <c r="D474">
        <v>4</v>
      </c>
      <c r="E474">
        <v>0</v>
      </c>
      <c r="F474">
        <v>0</v>
      </c>
      <c r="G474">
        <v>1</v>
      </c>
    </row>
    <row r="475" spans="1:7" x14ac:dyDescent="0.4">
      <c r="A475" t="s">
        <v>143</v>
      </c>
      <c r="B475">
        <v>3</v>
      </c>
      <c r="C475">
        <v>4</v>
      </c>
      <c r="D475">
        <v>7</v>
      </c>
      <c r="E475">
        <v>1</v>
      </c>
      <c r="F475">
        <v>0</v>
      </c>
      <c r="G475">
        <v>0</v>
      </c>
    </row>
    <row r="476" spans="1:7" x14ac:dyDescent="0.4">
      <c r="A476" t="s">
        <v>144</v>
      </c>
      <c r="B476">
        <v>4</v>
      </c>
      <c r="C476">
        <v>0</v>
      </c>
      <c r="D476">
        <v>4</v>
      </c>
      <c r="E476">
        <v>1</v>
      </c>
      <c r="F476">
        <v>0</v>
      </c>
      <c r="G476">
        <v>0</v>
      </c>
    </row>
    <row r="477" spans="1:7" x14ac:dyDescent="0.4">
      <c r="A477" t="s">
        <v>145</v>
      </c>
      <c r="B477">
        <v>4</v>
      </c>
      <c r="C477">
        <v>0</v>
      </c>
      <c r="D477">
        <v>4</v>
      </c>
      <c r="E477">
        <v>1</v>
      </c>
      <c r="F477">
        <v>0</v>
      </c>
      <c r="G477">
        <v>0</v>
      </c>
    </row>
    <row r="478" spans="1:7" x14ac:dyDescent="0.4">
      <c r="A478" t="s">
        <v>146</v>
      </c>
      <c r="B478"/>
      <c r="C478"/>
      <c r="D478"/>
      <c r="E478"/>
      <c r="F478"/>
      <c r="G478"/>
    </row>
    <row r="479" spans="1:7" x14ac:dyDescent="0.4">
      <c r="A479" t="s">
        <v>147</v>
      </c>
      <c r="B479">
        <v>54</v>
      </c>
      <c r="C479"/>
      <c r="D479"/>
      <c r="E479"/>
      <c r="F479"/>
      <c r="G479"/>
    </row>
    <row r="480" spans="1:7" x14ac:dyDescent="0.4">
      <c r="A480" t="s">
        <v>133</v>
      </c>
      <c r="B480">
        <v>5</v>
      </c>
      <c r="C480"/>
      <c r="D480"/>
      <c r="E480"/>
      <c r="F480"/>
      <c r="G480"/>
    </row>
    <row r="481" spans="1:7" x14ac:dyDescent="0.4">
      <c r="A481" t="s">
        <v>134</v>
      </c>
      <c r="B481">
        <v>2</v>
      </c>
      <c r="C481"/>
      <c r="D481"/>
      <c r="E481"/>
      <c r="F481"/>
      <c r="G481"/>
    </row>
    <row r="482" spans="1:7" x14ac:dyDescent="0.4">
      <c r="A482" t="s">
        <v>141</v>
      </c>
      <c r="B482">
        <v>1</v>
      </c>
      <c r="C482">
        <v>0</v>
      </c>
      <c r="D482">
        <v>1</v>
      </c>
      <c r="E482">
        <v>0</v>
      </c>
      <c r="F482">
        <v>0</v>
      </c>
      <c r="G482">
        <v>1</v>
      </c>
    </row>
    <row r="483" spans="1:7" x14ac:dyDescent="0.4">
      <c r="A483" t="s">
        <v>142</v>
      </c>
      <c r="B483">
        <v>4</v>
      </c>
      <c r="C483">
        <v>0</v>
      </c>
      <c r="D483">
        <v>4</v>
      </c>
      <c r="E483">
        <v>0</v>
      </c>
      <c r="F483">
        <v>1</v>
      </c>
      <c r="G483">
        <v>0</v>
      </c>
    </row>
    <row r="484" spans="1:7" x14ac:dyDescent="0.4">
      <c r="A484" t="s">
        <v>143</v>
      </c>
      <c r="B484"/>
      <c r="C484"/>
      <c r="D484"/>
      <c r="E484"/>
      <c r="F484"/>
      <c r="G484"/>
    </row>
    <row r="485" spans="1:7" x14ac:dyDescent="0.4">
      <c r="A485" t="s">
        <v>144</v>
      </c>
      <c r="B485"/>
      <c r="C485"/>
      <c r="D485"/>
      <c r="E485"/>
      <c r="F485"/>
      <c r="G485"/>
    </row>
    <row r="486" spans="1:7" x14ac:dyDescent="0.4">
      <c r="A486" t="s">
        <v>145</v>
      </c>
      <c r="B486"/>
      <c r="C486"/>
      <c r="D486"/>
      <c r="E486"/>
      <c r="F486"/>
      <c r="G486"/>
    </row>
    <row r="487" spans="1:7" x14ac:dyDescent="0.4">
      <c r="A487" t="s">
        <v>146</v>
      </c>
      <c r="B487"/>
      <c r="C487"/>
      <c r="D487"/>
      <c r="E487"/>
      <c r="F487"/>
      <c r="G487"/>
    </row>
    <row r="488" spans="1:7" x14ac:dyDescent="0.4">
      <c r="A488" t="s">
        <v>147</v>
      </c>
      <c r="B488">
        <v>55</v>
      </c>
      <c r="C488"/>
      <c r="D488"/>
      <c r="E488"/>
      <c r="F488"/>
      <c r="G488"/>
    </row>
    <row r="489" spans="1:7" x14ac:dyDescent="0.4">
      <c r="A489" t="s">
        <v>133</v>
      </c>
      <c r="B489">
        <v>6</v>
      </c>
      <c r="C489"/>
      <c r="D489"/>
      <c r="E489"/>
      <c r="F489"/>
      <c r="G489"/>
    </row>
    <row r="490" spans="1:7" x14ac:dyDescent="0.4">
      <c r="A490" t="s">
        <v>134</v>
      </c>
      <c r="B490">
        <v>2</v>
      </c>
      <c r="C490"/>
      <c r="D490"/>
      <c r="E490"/>
      <c r="F490"/>
      <c r="G490"/>
    </row>
    <row r="491" spans="1:7" x14ac:dyDescent="0.4">
      <c r="A491" t="s">
        <v>141</v>
      </c>
      <c r="B491">
        <v>4</v>
      </c>
      <c r="C491">
        <v>0</v>
      </c>
      <c r="D491">
        <v>4</v>
      </c>
      <c r="E491">
        <v>0</v>
      </c>
      <c r="F491">
        <v>0</v>
      </c>
      <c r="G491">
        <v>1</v>
      </c>
    </row>
    <row r="492" spans="1:7" x14ac:dyDescent="0.4">
      <c r="A492" t="s">
        <v>142</v>
      </c>
      <c r="B492">
        <v>2</v>
      </c>
      <c r="C492">
        <v>4</v>
      </c>
      <c r="D492">
        <v>6</v>
      </c>
      <c r="E492">
        <v>0</v>
      </c>
      <c r="F492">
        <v>0</v>
      </c>
      <c r="G492">
        <v>1</v>
      </c>
    </row>
    <row r="493" spans="1:7" x14ac:dyDescent="0.4">
      <c r="A493" t="s">
        <v>143</v>
      </c>
      <c r="B493"/>
      <c r="C493"/>
      <c r="D493"/>
      <c r="E493"/>
      <c r="F493"/>
      <c r="G493"/>
    </row>
    <row r="494" spans="1:7" x14ac:dyDescent="0.4">
      <c r="A494" t="s">
        <v>144</v>
      </c>
      <c r="B494"/>
      <c r="C494"/>
      <c r="D494"/>
      <c r="E494"/>
      <c r="F494"/>
      <c r="G494"/>
    </row>
    <row r="495" spans="1:7" x14ac:dyDescent="0.4">
      <c r="A495" t="s">
        <v>145</v>
      </c>
      <c r="B495"/>
      <c r="C495"/>
      <c r="D495"/>
      <c r="E495"/>
      <c r="F495"/>
      <c r="G495"/>
    </row>
    <row r="496" spans="1:7" x14ac:dyDescent="0.4">
      <c r="A496" t="s">
        <v>146</v>
      </c>
      <c r="B496"/>
      <c r="C496"/>
      <c r="D496"/>
      <c r="E496"/>
      <c r="F496"/>
      <c r="G496"/>
    </row>
    <row r="497" spans="1:7" x14ac:dyDescent="0.4">
      <c r="A497" t="s">
        <v>147</v>
      </c>
      <c r="B497">
        <v>56</v>
      </c>
      <c r="C497"/>
      <c r="D497"/>
      <c r="E497"/>
      <c r="F497"/>
      <c r="G497"/>
    </row>
    <row r="498" spans="1:7" x14ac:dyDescent="0.4">
      <c r="A498" t="s">
        <v>133</v>
      </c>
      <c r="B498">
        <v>3</v>
      </c>
      <c r="C498"/>
      <c r="D498"/>
      <c r="E498"/>
      <c r="F498"/>
      <c r="G498"/>
    </row>
    <row r="499" spans="1:7" x14ac:dyDescent="0.4">
      <c r="A499" t="s">
        <v>134</v>
      </c>
      <c r="B499">
        <v>1</v>
      </c>
      <c r="C499"/>
      <c r="D499"/>
      <c r="E499"/>
      <c r="F499"/>
      <c r="G499"/>
    </row>
    <row r="500" spans="1:7" x14ac:dyDescent="0.4">
      <c r="A500" t="s">
        <v>141</v>
      </c>
      <c r="B500">
        <v>3</v>
      </c>
      <c r="C500">
        <v>0</v>
      </c>
      <c r="D500">
        <v>3</v>
      </c>
      <c r="E500">
        <v>0</v>
      </c>
      <c r="F500">
        <v>1</v>
      </c>
      <c r="G500">
        <v>0</v>
      </c>
    </row>
    <row r="501" spans="1:7" x14ac:dyDescent="0.4">
      <c r="A501" t="s">
        <v>142</v>
      </c>
      <c r="B501"/>
      <c r="C501"/>
      <c r="D501"/>
      <c r="E501"/>
      <c r="F501"/>
      <c r="G501"/>
    </row>
    <row r="502" spans="1:7" x14ac:dyDescent="0.4">
      <c r="A502" t="s">
        <v>143</v>
      </c>
      <c r="B502"/>
      <c r="C502"/>
      <c r="D502"/>
      <c r="E502"/>
      <c r="F502"/>
      <c r="G502"/>
    </row>
    <row r="503" spans="1:7" x14ac:dyDescent="0.4">
      <c r="A503" t="s">
        <v>144</v>
      </c>
      <c r="B503"/>
      <c r="C503"/>
      <c r="D503"/>
      <c r="E503"/>
      <c r="F503"/>
      <c r="G503"/>
    </row>
    <row r="504" spans="1:7" x14ac:dyDescent="0.4">
      <c r="A504" t="s">
        <v>145</v>
      </c>
      <c r="B504"/>
      <c r="C504"/>
      <c r="D504"/>
      <c r="E504"/>
      <c r="F504"/>
      <c r="G504"/>
    </row>
    <row r="505" spans="1:7" x14ac:dyDescent="0.4">
      <c r="A505" t="s">
        <v>146</v>
      </c>
      <c r="B505"/>
      <c r="C505"/>
      <c r="D505"/>
      <c r="E505"/>
      <c r="F505"/>
      <c r="G505"/>
    </row>
    <row r="506" spans="1:7" x14ac:dyDescent="0.4">
      <c r="A506" t="s">
        <v>147</v>
      </c>
      <c r="B506">
        <v>57</v>
      </c>
      <c r="C506"/>
      <c r="D506"/>
      <c r="E506"/>
      <c r="F506"/>
      <c r="G506"/>
    </row>
    <row r="507" spans="1:7" x14ac:dyDescent="0.4">
      <c r="A507" t="s">
        <v>133</v>
      </c>
      <c r="B507">
        <v>3</v>
      </c>
      <c r="C507"/>
      <c r="D507"/>
      <c r="E507"/>
      <c r="F507"/>
      <c r="G507"/>
    </row>
    <row r="508" spans="1:7" x14ac:dyDescent="0.4">
      <c r="A508" t="s">
        <v>134</v>
      </c>
      <c r="B508">
        <v>1</v>
      </c>
      <c r="C508"/>
      <c r="D508"/>
      <c r="E508"/>
      <c r="F508"/>
      <c r="G508"/>
    </row>
    <row r="509" spans="1:7" x14ac:dyDescent="0.4">
      <c r="A509" t="s">
        <v>141</v>
      </c>
      <c r="B509">
        <v>3</v>
      </c>
      <c r="C509">
        <v>0</v>
      </c>
      <c r="D509">
        <v>3</v>
      </c>
      <c r="E509">
        <v>0</v>
      </c>
      <c r="F509">
        <v>0</v>
      </c>
      <c r="G509">
        <v>1</v>
      </c>
    </row>
    <row r="510" spans="1:7" x14ac:dyDescent="0.4">
      <c r="A510" t="s">
        <v>142</v>
      </c>
      <c r="B510"/>
      <c r="C510"/>
      <c r="D510"/>
      <c r="E510"/>
      <c r="F510"/>
      <c r="G510"/>
    </row>
    <row r="511" spans="1:7" x14ac:dyDescent="0.4">
      <c r="A511" t="s">
        <v>143</v>
      </c>
      <c r="B511"/>
      <c r="C511"/>
      <c r="D511"/>
      <c r="E511"/>
      <c r="F511"/>
      <c r="G511"/>
    </row>
    <row r="512" spans="1:7" x14ac:dyDescent="0.4">
      <c r="A512" t="s">
        <v>144</v>
      </c>
      <c r="B512"/>
      <c r="C512"/>
      <c r="D512"/>
      <c r="E512"/>
      <c r="F512"/>
      <c r="G512"/>
    </row>
    <row r="513" spans="1:7" x14ac:dyDescent="0.4">
      <c r="A513" t="s">
        <v>145</v>
      </c>
      <c r="B513"/>
      <c r="C513"/>
      <c r="D513"/>
      <c r="E513"/>
      <c r="F513"/>
      <c r="G513"/>
    </row>
    <row r="514" spans="1:7" x14ac:dyDescent="0.4">
      <c r="A514" t="s">
        <v>146</v>
      </c>
      <c r="B514"/>
      <c r="C514"/>
      <c r="D514"/>
      <c r="E514"/>
      <c r="F514"/>
      <c r="G514"/>
    </row>
    <row r="515" spans="1:7" x14ac:dyDescent="0.4">
      <c r="A515" t="s">
        <v>147</v>
      </c>
      <c r="B515">
        <v>58</v>
      </c>
      <c r="C515"/>
      <c r="D515"/>
      <c r="E515"/>
      <c r="F515"/>
      <c r="G515"/>
    </row>
    <row r="516" spans="1:7" x14ac:dyDescent="0.4">
      <c r="A516" t="s">
        <v>133</v>
      </c>
      <c r="B516">
        <v>4</v>
      </c>
      <c r="C516"/>
      <c r="D516"/>
      <c r="E516"/>
      <c r="F516"/>
      <c r="G516"/>
    </row>
    <row r="517" spans="1:7" x14ac:dyDescent="0.4">
      <c r="A517" t="s">
        <v>134</v>
      </c>
      <c r="B517">
        <v>2</v>
      </c>
      <c r="C517"/>
      <c r="D517"/>
      <c r="E517"/>
      <c r="F517"/>
      <c r="G517"/>
    </row>
    <row r="518" spans="1:7" x14ac:dyDescent="0.4">
      <c r="A518" t="s">
        <v>141</v>
      </c>
      <c r="B518">
        <v>2</v>
      </c>
      <c r="C518">
        <v>0</v>
      </c>
      <c r="D518">
        <v>2</v>
      </c>
      <c r="E518">
        <v>0</v>
      </c>
      <c r="F518">
        <v>0</v>
      </c>
      <c r="G518">
        <v>1</v>
      </c>
    </row>
    <row r="519" spans="1:7" x14ac:dyDescent="0.4">
      <c r="A519" t="s">
        <v>142</v>
      </c>
      <c r="B519">
        <v>2</v>
      </c>
      <c r="C519">
        <v>2</v>
      </c>
      <c r="D519">
        <v>4</v>
      </c>
      <c r="E519">
        <v>0</v>
      </c>
      <c r="F519">
        <v>1</v>
      </c>
      <c r="G519">
        <v>0</v>
      </c>
    </row>
    <row r="520" spans="1:7" x14ac:dyDescent="0.4">
      <c r="A520" t="s">
        <v>143</v>
      </c>
      <c r="B520"/>
      <c r="C520"/>
      <c r="D520"/>
      <c r="E520"/>
      <c r="F520"/>
      <c r="G520"/>
    </row>
    <row r="521" spans="1:7" x14ac:dyDescent="0.4">
      <c r="A521" t="s">
        <v>144</v>
      </c>
      <c r="B521"/>
      <c r="C521"/>
      <c r="D521"/>
      <c r="E521"/>
      <c r="F521"/>
      <c r="G521"/>
    </row>
    <row r="522" spans="1:7" x14ac:dyDescent="0.4">
      <c r="A522" t="s">
        <v>145</v>
      </c>
      <c r="B522"/>
      <c r="C522"/>
      <c r="D522"/>
      <c r="E522"/>
      <c r="F522"/>
      <c r="G522"/>
    </row>
    <row r="523" spans="1:7" x14ac:dyDescent="0.4">
      <c r="A523" t="s">
        <v>146</v>
      </c>
      <c r="B523"/>
      <c r="C523"/>
      <c r="D523"/>
      <c r="E523"/>
      <c r="F523"/>
      <c r="G523"/>
    </row>
    <row r="524" spans="1:7" x14ac:dyDescent="0.4">
      <c r="A524" t="s">
        <v>147</v>
      </c>
      <c r="B524">
        <v>59</v>
      </c>
      <c r="C524"/>
      <c r="D524"/>
      <c r="E524"/>
      <c r="F524"/>
      <c r="G524"/>
    </row>
    <row r="525" spans="1:7" x14ac:dyDescent="0.4">
      <c r="A525" t="s">
        <v>133</v>
      </c>
      <c r="B525">
        <v>8</v>
      </c>
      <c r="C525"/>
      <c r="D525"/>
      <c r="E525"/>
      <c r="F525"/>
      <c r="G525"/>
    </row>
    <row r="526" spans="1:7" x14ac:dyDescent="0.4">
      <c r="A526" t="s">
        <v>134</v>
      </c>
      <c r="B526">
        <v>5</v>
      </c>
      <c r="C526"/>
      <c r="D526"/>
      <c r="E526"/>
      <c r="F526"/>
      <c r="G526"/>
    </row>
    <row r="527" spans="1:7" x14ac:dyDescent="0.4">
      <c r="A527" t="s">
        <v>141</v>
      </c>
      <c r="B527">
        <v>1</v>
      </c>
      <c r="C527">
        <v>0</v>
      </c>
      <c r="D527">
        <v>1</v>
      </c>
      <c r="E527">
        <v>1</v>
      </c>
      <c r="F527">
        <v>0</v>
      </c>
      <c r="G527">
        <v>0</v>
      </c>
    </row>
    <row r="528" spans="1:7" x14ac:dyDescent="0.4">
      <c r="A528" t="s">
        <v>142</v>
      </c>
      <c r="B528">
        <v>1</v>
      </c>
      <c r="C528">
        <v>0</v>
      </c>
      <c r="D528">
        <v>1</v>
      </c>
      <c r="E528">
        <v>0</v>
      </c>
      <c r="F528">
        <v>0</v>
      </c>
      <c r="G528">
        <v>1</v>
      </c>
    </row>
    <row r="529" spans="1:7" x14ac:dyDescent="0.4">
      <c r="A529" t="s">
        <v>143</v>
      </c>
      <c r="B529">
        <v>2</v>
      </c>
      <c r="C529">
        <v>0</v>
      </c>
      <c r="D529">
        <v>2</v>
      </c>
      <c r="E529">
        <v>0</v>
      </c>
      <c r="F529">
        <v>0</v>
      </c>
      <c r="G529">
        <v>1</v>
      </c>
    </row>
    <row r="530" spans="1:7" x14ac:dyDescent="0.4">
      <c r="A530" t="s">
        <v>144</v>
      </c>
      <c r="B530">
        <v>2</v>
      </c>
      <c r="C530">
        <v>0</v>
      </c>
      <c r="D530">
        <v>2</v>
      </c>
      <c r="E530">
        <v>0</v>
      </c>
      <c r="F530">
        <v>1</v>
      </c>
      <c r="G530">
        <v>0</v>
      </c>
    </row>
    <row r="531" spans="1:7" x14ac:dyDescent="0.4">
      <c r="A531" t="s">
        <v>145</v>
      </c>
      <c r="B531">
        <v>2</v>
      </c>
      <c r="C531">
        <v>0</v>
      </c>
      <c r="D531">
        <v>2</v>
      </c>
      <c r="E531">
        <v>0</v>
      </c>
      <c r="F531">
        <v>0</v>
      </c>
      <c r="G531">
        <v>1</v>
      </c>
    </row>
    <row r="532" spans="1:7" x14ac:dyDescent="0.4">
      <c r="A532" t="s">
        <v>146</v>
      </c>
      <c r="B532"/>
      <c r="C532"/>
      <c r="D532"/>
      <c r="E532"/>
      <c r="F532"/>
      <c r="G532"/>
    </row>
    <row r="533" spans="1:7" x14ac:dyDescent="0.4">
      <c r="A533" t="s">
        <v>147</v>
      </c>
      <c r="B533">
        <v>60</v>
      </c>
      <c r="C533"/>
      <c r="D533"/>
      <c r="E533"/>
      <c r="F533"/>
      <c r="G533"/>
    </row>
    <row r="534" spans="1:7" x14ac:dyDescent="0.4">
      <c r="A534" t="s">
        <v>133</v>
      </c>
      <c r="B534">
        <v>11</v>
      </c>
      <c r="C534"/>
      <c r="D534"/>
      <c r="E534"/>
      <c r="F534"/>
      <c r="G534"/>
    </row>
    <row r="535" spans="1:7" x14ac:dyDescent="0.4">
      <c r="A535" t="s">
        <v>134</v>
      </c>
      <c r="B535">
        <v>3</v>
      </c>
      <c r="C535"/>
      <c r="D535"/>
      <c r="E535"/>
      <c r="F535"/>
      <c r="G535"/>
    </row>
    <row r="536" spans="1:7" x14ac:dyDescent="0.4">
      <c r="A536" t="s">
        <v>141</v>
      </c>
      <c r="B536">
        <v>4</v>
      </c>
      <c r="C536">
        <v>0</v>
      </c>
      <c r="D536">
        <v>4</v>
      </c>
      <c r="E536">
        <v>0</v>
      </c>
      <c r="F536">
        <v>1</v>
      </c>
      <c r="G536">
        <v>0</v>
      </c>
    </row>
    <row r="537" spans="1:7" x14ac:dyDescent="0.4">
      <c r="A537" t="s">
        <v>142</v>
      </c>
      <c r="B537">
        <v>3</v>
      </c>
      <c r="C537">
        <v>4</v>
      </c>
      <c r="D537">
        <v>7</v>
      </c>
      <c r="E537">
        <v>0</v>
      </c>
      <c r="F537">
        <v>1</v>
      </c>
      <c r="G537">
        <v>0</v>
      </c>
    </row>
    <row r="538" spans="1:7" x14ac:dyDescent="0.4">
      <c r="A538" t="s">
        <v>143</v>
      </c>
      <c r="B538">
        <v>4</v>
      </c>
      <c r="C538">
        <v>7</v>
      </c>
      <c r="D538">
        <v>11</v>
      </c>
      <c r="E538">
        <v>0</v>
      </c>
      <c r="F538">
        <v>0</v>
      </c>
      <c r="G538">
        <v>1</v>
      </c>
    </row>
    <row r="539" spans="1:7" x14ac:dyDescent="0.4">
      <c r="A539" t="s">
        <v>144</v>
      </c>
      <c r="B539"/>
      <c r="C539"/>
      <c r="D539"/>
      <c r="E539"/>
      <c r="F539"/>
      <c r="G539"/>
    </row>
    <row r="540" spans="1:7" x14ac:dyDescent="0.4">
      <c r="A540" t="s">
        <v>145</v>
      </c>
      <c r="B540"/>
      <c r="C540"/>
      <c r="D540"/>
      <c r="E540"/>
      <c r="F540"/>
      <c r="G540"/>
    </row>
    <row r="541" spans="1:7" x14ac:dyDescent="0.4">
      <c r="A541" t="s">
        <v>146</v>
      </c>
      <c r="B541"/>
      <c r="C541"/>
      <c r="D541"/>
      <c r="E541"/>
      <c r="F541"/>
      <c r="G541"/>
    </row>
    <row r="542" spans="1:7" x14ac:dyDescent="0.4">
      <c r="A542" t="s">
        <v>147</v>
      </c>
      <c r="B542">
        <v>61</v>
      </c>
      <c r="C542"/>
      <c r="D542"/>
      <c r="E542"/>
      <c r="F542"/>
      <c r="G542"/>
    </row>
    <row r="543" spans="1:7" x14ac:dyDescent="0.4">
      <c r="A543" t="s">
        <v>133</v>
      </c>
      <c r="B543">
        <v>4</v>
      </c>
      <c r="C543"/>
      <c r="D543"/>
      <c r="E543"/>
      <c r="F543"/>
      <c r="G543"/>
    </row>
    <row r="544" spans="1:7" x14ac:dyDescent="0.4">
      <c r="A544" t="s">
        <v>134</v>
      </c>
      <c r="B544">
        <v>1</v>
      </c>
      <c r="C544"/>
      <c r="D544"/>
      <c r="E544"/>
      <c r="F544"/>
      <c r="G544"/>
    </row>
    <row r="545" spans="1:7" x14ac:dyDescent="0.4">
      <c r="A545" t="s">
        <v>141</v>
      </c>
      <c r="B545">
        <v>4</v>
      </c>
      <c r="C545">
        <v>0</v>
      </c>
      <c r="D545">
        <v>4</v>
      </c>
      <c r="E545">
        <v>0</v>
      </c>
      <c r="F545">
        <v>0</v>
      </c>
      <c r="G545">
        <v>1</v>
      </c>
    </row>
    <row r="546" spans="1:7" x14ac:dyDescent="0.4">
      <c r="A546" t="s">
        <v>142</v>
      </c>
      <c r="B546"/>
      <c r="C546"/>
      <c r="D546"/>
      <c r="E546"/>
      <c r="F546"/>
      <c r="G546"/>
    </row>
    <row r="547" spans="1:7" x14ac:dyDescent="0.4">
      <c r="A547" t="s">
        <v>143</v>
      </c>
      <c r="B547"/>
      <c r="C547"/>
      <c r="D547"/>
      <c r="E547"/>
      <c r="F547"/>
      <c r="G547"/>
    </row>
    <row r="548" spans="1:7" x14ac:dyDescent="0.4">
      <c r="A548" t="s">
        <v>144</v>
      </c>
      <c r="B548"/>
      <c r="C548"/>
      <c r="D548"/>
      <c r="E548"/>
      <c r="F548"/>
      <c r="G548"/>
    </row>
    <row r="549" spans="1:7" x14ac:dyDescent="0.4">
      <c r="A549" t="s">
        <v>145</v>
      </c>
      <c r="B549"/>
      <c r="C549"/>
      <c r="D549"/>
      <c r="E549"/>
      <c r="F549"/>
      <c r="G549"/>
    </row>
    <row r="550" spans="1:7" x14ac:dyDescent="0.4">
      <c r="A550" t="s">
        <v>146</v>
      </c>
      <c r="B550"/>
      <c r="C550"/>
      <c r="D550"/>
      <c r="E550"/>
      <c r="F550"/>
      <c r="G550"/>
    </row>
    <row r="551" spans="1:7" x14ac:dyDescent="0.4">
      <c r="A551" t="s">
        <v>147</v>
      </c>
      <c r="B551">
        <v>62</v>
      </c>
      <c r="C551"/>
      <c r="D551"/>
      <c r="E551"/>
      <c r="F551"/>
      <c r="G551"/>
    </row>
    <row r="552" spans="1:7" x14ac:dyDescent="0.4">
      <c r="A552" t="s">
        <v>133</v>
      </c>
      <c r="B552">
        <v>7</v>
      </c>
      <c r="C552"/>
      <c r="D552"/>
      <c r="E552"/>
      <c r="F552"/>
      <c r="G552"/>
    </row>
    <row r="553" spans="1:7" x14ac:dyDescent="0.4">
      <c r="A553" t="s">
        <v>134</v>
      </c>
      <c r="B553">
        <v>2</v>
      </c>
      <c r="C553"/>
      <c r="D553"/>
      <c r="E553"/>
      <c r="F553"/>
      <c r="G553"/>
    </row>
    <row r="554" spans="1:7" x14ac:dyDescent="0.4">
      <c r="A554" t="s">
        <v>141</v>
      </c>
      <c r="B554">
        <v>4</v>
      </c>
      <c r="C554">
        <v>0</v>
      </c>
      <c r="D554">
        <v>4</v>
      </c>
      <c r="E554">
        <v>0</v>
      </c>
      <c r="F554">
        <v>1</v>
      </c>
      <c r="G554">
        <v>0</v>
      </c>
    </row>
    <row r="555" spans="1:7" x14ac:dyDescent="0.4">
      <c r="A555" t="s">
        <v>142</v>
      </c>
      <c r="B555">
        <v>3</v>
      </c>
      <c r="C555">
        <v>4</v>
      </c>
      <c r="D555">
        <v>7</v>
      </c>
      <c r="E555">
        <v>0</v>
      </c>
      <c r="F555">
        <v>0</v>
      </c>
      <c r="G555">
        <v>1</v>
      </c>
    </row>
    <row r="556" spans="1:7" x14ac:dyDescent="0.4">
      <c r="A556" t="s">
        <v>143</v>
      </c>
      <c r="B556"/>
      <c r="C556"/>
      <c r="D556"/>
      <c r="E556"/>
      <c r="F556"/>
      <c r="G556"/>
    </row>
    <row r="557" spans="1:7" x14ac:dyDescent="0.4">
      <c r="A557" t="s">
        <v>144</v>
      </c>
      <c r="B557"/>
      <c r="C557"/>
      <c r="D557"/>
      <c r="E557"/>
      <c r="F557"/>
      <c r="G557"/>
    </row>
    <row r="558" spans="1:7" x14ac:dyDescent="0.4">
      <c r="A558" t="s">
        <v>145</v>
      </c>
      <c r="B558"/>
      <c r="C558"/>
      <c r="D558"/>
      <c r="E558"/>
      <c r="F558"/>
      <c r="G558"/>
    </row>
    <row r="559" spans="1:7" x14ac:dyDescent="0.4">
      <c r="A559" t="s">
        <v>146</v>
      </c>
      <c r="B559"/>
      <c r="C559"/>
      <c r="D559"/>
      <c r="E559"/>
      <c r="F559"/>
      <c r="G559"/>
    </row>
    <row r="560" spans="1:7" x14ac:dyDescent="0.4">
      <c r="A560" t="s">
        <v>147</v>
      </c>
      <c r="B560">
        <v>63</v>
      </c>
      <c r="C560"/>
      <c r="D560"/>
      <c r="E560"/>
      <c r="F560"/>
      <c r="G560"/>
    </row>
    <row r="561" spans="1:7" x14ac:dyDescent="0.4">
      <c r="A561" t="s">
        <v>133</v>
      </c>
      <c r="B561">
        <v>17</v>
      </c>
      <c r="C561"/>
      <c r="D561"/>
      <c r="E561"/>
      <c r="F561"/>
      <c r="G561"/>
    </row>
    <row r="562" spans="1:7" x14ac:dyDescent="0.4">
      <c r="A562" t="s">
        <v>134</v>
      </c>
      <c r="B562">
        <v>5</v>
      </c>
      <c r="C562"/>
      <c r="D562"/>
      <c r="E562"/>
      <c r="F562"/>
      <c r="G562"/>
    </row>
    <row r="563" spans="1:7" x14ac:dyDescent="0.4">
      <c r="A563" t="s">
        <v>141</v>
      </c>
      <c r="B563">
        <v>4</v>
      </c>
      <c r="C563">
        <v>0</v>
      </c>
      <c r="D563">
        <v>4</v>
      </c>
      <c r="E563">
        <v>0</v>
      </c>
      <c r="F563">
        <v>0</v>
      </c>
      <c r="G563">
        <v>1</v>
      </c>
    </row>
    <row r="564" spans="1:7" x14ac:dyDescent="0.4">
      <c r="A564" t="s">
        <v>142</v>
      </c>
      <c r="B564">
        <v>4</v>
      </c>
      <c r="C564">
        <v>4</v>
      </c>
      <c r="D564">
        <v>8</v>
      </c>
      <c r="E564">
        <v>0</v>
      </c>
      <c r="F564">
        <v>0</v>
      </c>
      <c r="G564">
        <v>1</v>
      </c>
    </row>
    <row r="565" spans="1:7" x14ac:dyDescent="0.4">
      <c r="A565" t="s">
        <v>143</v>
      </c>
      <c r="B565">
        <v>2</v>
      </c>
      <c r="C565">
        <v>8</v>
      </c>
      <c r="D565">
        <v>10</v>
      </c>
      <c r="E565">
        <v>0</v>
      </c>
      <c r="F565">
        <v>0</v>
      </c>
      <c r="G565">
        <v>1</v>
      </c>
    </row>
    <row r="566" spans="1:7" x14ac:dyDescent="0.4">
      <c r="A566" t="s">
        <v>144</v>
      </c>
      <c r="B566">
        <v>4</v>
      </c>
      <c r="C566">
        <v>0</v>
      </c>
      <c r="D566">
        <v>4</v>
      </c>
      <c r="E566">
        <v>1</v>
      </c>
      <c r="F566">
        <v>0</v>
      </c>
      <c r="G566">
        <v>0</v>
      </c>
    </row>
    <row r="567" spans="1:7" x14ac:dyDescent="0.4">
      <c r="A567" t="s">
        <v>145</v>
      </c>
      <c r="B567">
        <v>3</v>
      </c>
      <c r="C567">
        <v>10</v>
      </c>
      <c r="D567">
        <v>13</v>
      </c>
      <c r="E567">
        <v>0</v>
      </c>
      <c r="F567">
        <v>0</v>
      </c>
      <c r="G567">
        <v>1</v>
      </c>
    </row>
    <row r="568" spans="1:7" x14ac:dyDescent="0.4">
      <c r="A568" t="s">
        <v>146</v>
      </c>
      <c r="B568"/>
      <c r="C568"/>
      <c r="D568"/>
      <c r="E568"/>
      <c r="F568"/>
      <c r="G568"/>
    </row>
    <row r="569" spans="1:7" x14ac:dyDescent="0.4">
      <c r="A569" t="s">
        <v>147</v>
      </c>
      <c r="B569">
        <v>64</v>
      </c>
      <c r="C569"/>
      <c r="D569"/>
      <c r="E569"/>
      <c r="F569"/>
      <c r="G569"/>
    </row>
    <row r="570" spans="1:7" x14ac:dyDescent="0.4">
      <c r="A570" t="s">
        <v>133</v>
      </c>
      <c r="B570">
        <v>12</v>
      </c>
      <c r="C570"/>
      <c r="D570"/>
      <c r="E570"/>
      <c r="F570"/>
      <c r="G570"/>
    </row>
    <row r="571" spans="1:7" x14ac:dyDescent="0.4">
      <c r="A571" t="s">
        <v>134</v>
      </c>
      <c r="B571">
        <v>4</v>
      </c>
      <c r="C571"/>
      <c r="D571"/>
      <c r="E571"/>
      <c r="F571"/>
      <c r="G571"/>
    </row>
    <row r="572" spans="1:7" x14ac:dyDescent="0.4">
      <c r="A572" t="s">
        <v>141</v>
      </c>
      <c r="B572">
        <v>2</v>
      </c>
      <c r="C572">
        <v>0</v>
      </c>
      <c r="D572">
        <v>2</v>
      </c>
      <c r="E572">
        <v>0</v>
      </c>
      <c r="F572">
        <v>1</v>
      </c>
      <c r="G572">
        <v>0</v>
      </c>
    </row>
    <row r="573" spans="1:7" x14ac:dyDescent="0.4">
      <c r="A573" t="s">
        <v>142</v>
      </c>
      <c r="B573">
        <v>3</v>
      </c>
      <c r="C573">
        <v>2</v>
      </c>
      <c r="D573">
        <v>5</v>
      </c>
      <c r="E573">
        <v>0</v>
      </c>
      <c r="F573">
        <v>0</v>
      </c>
      <c r="G573">
        <v>1</v>
      </c>
    </row>
    <row r="574" spans="1:7" x14ac:dyDescent="0.4">
      <c r="A574" t="s">
        <v>143</v>
      </c>
      <c r="B574">
        <v>4</v>
      </c>
      <c r="C574">
        <v>0</v>
      </c>
      <c r="D574">
        <v>4</v>
      </c>
      <c r="E574">
        <v>1</v>
      </c>
      <c r="F574">
        <v>0</v>
      </c>
      <c r="G574">
        <v>0</v>
      </c>
    </row>
    <row r="575" spans="1:7" x14ac:dyDescent="0.4">
      <c r="A575" t="s">
        <v>144</v>
      </c>
      <c r="B575">
        <v>3</v>
      </c>
      <c r="C575">
        <v>4</v>
      </c>
      <c r="D575">
        <v>7</v>
      </c>
      <c r="E575">
        <v>1</v>
      </c>
      <c r="F575">
        <v>0</v>
      </c>
      <c r="G575">
        <v>0</v>
      </c>
    </row>
    <row r="576" spans="1:7" x14ac:dyDescent="0.4">
      <c r="A576" t="s">
        <v>145</v>
      </c>
      <c r="B576"/>
      <c r="C576"/>
      <c r="D576"/>
      <c r="E576"/>
      <c r="F576"/>
      <c r="G576"/>
    </row>
    <row r="577" spans="1:7" x14ac:dyDescent="0.4">
      <c r="A577" t="s">
        <v>146</v>
      </c>
      <c r="B577"/>
      <c r="C577"/>
      <c r="D577"/>
      <c r="E577"/>
      <c r="F577"/>
      <c r="G577"/>
    </row>
    <row r="578" spans="1:7" x14ac:dyDescent="0.4">
      <c r="A578"/>
      <c r="B578"/>
      <c r="C578"/>
      <c r="D578"/>
      <c r="E578"/>
      <c r="F578"/>
      <c r="G578"/>
    </row>
    <row r="579" spans="1:7" x14ac:dyDescent="0.4">
      <c r="A579"/>
      <c r="B579"/>
      <c r="C579"/>
      <c r="D579"/>
      <c r="E579"/>
      <c r="F579"/>
      <c r="G579"/>
    </row>
    <row r="580" spans="1:7" x14ac:dyDescent="0.4">
      <c r="A580"/>
      <c r="B580"/>
      <c r="C580"/>
      <c r="D580"/>
      <c r="E580"/>
      <c r="F580"/>
      <c r="G580"/>
    </row>
    <row r="581" spans="1:7" x14ac:dyDescent="0.4">
      <c r="A581"/>
      <c r="B581"/>
      <c r="C581"/>
      <c r="D581"/>
      <c r="E581"/>
      <c r="F581"/>
      <c r="G581"/>
    </row>
    <row r="582" spans="1:7" x14ac:dyDescent="0.4">
      <c r="A582"/>
      <c r="B582"/>
      <c r="C582"/>
      <c r="D582"/>
      <c r="E582"/>
      <c r="F582"/>
      <c r="G582"/>
    </row>
    <row r="583" spans="1:7" x14ac:dyDescent="0.4">
      <c r="A583"/>
      <c r="B583"/>
      <c r="C583"/>
      <c r="D583"/>
      <c r="E583"/>
      <c r="F583"/>
      <c r="G583"/>
    </row>
    <row r="584" spans="1:7" x14ac:dyDescent="0.4">
      <c r="A584"/>
      <c r="B584"/>
      <c r="C584"/>
      <c r="D584"/>
      <c r="E584"/>
      <c r="F584"/>
      <c r="G584"/>
    </row>
    <row r="585" spans="1:7" x14ac:dyDescent="0.4">
      <c r="A585"/>
      <c r="B585"/>
      <c r="C585"/>
      <c r="D585"/>
      <c r="E585"/>
      <c r="F585"/>
      <c r="G585"/>
    </row>
    <row r="586" spans="1:7" x14ac:dyDescent="0.4">
      <c r="A586"/>
      <c r="B586"/>
      <c r="C586"/>
      <c r="D586"/>
      <c r="E586"/>
      <c r="F586"/>
      <c r="G586"/>
    </row>
    <row r="587" spans="1:7" x14ac:dyDescent="0.4">
      <c r="A587"/>
      <c r="B587"/>
      <c r="C587"/>
      <c r="D587"/>
      <c r="E587"/>
      <c r="F587"/>
      <c r="G587"/>
    </row>
    <row r="588" spans="1:7" x14ac:dyDescent="0.4">
      <c r="A588"/>
      <c r="B588"/>
      <c r="C588"/>
      <c r="D588"/>
      <c r="E588"/>
      <c r="F588"/>
      <c r="G588"/>
    </row>
    <row r="589" spans="1:7" x14ac:dyDescent="0.4">
      <c r="A589"/>
      <c r="B589"/>
      <c r="C589"/>
      <c r="D589"/>
      <c r="E589"/>
      <c r="F589"/>
      <c r="G589"/>
    </row>
    <row r="590" spans="1:7" x14ac:dyDescent="0.4">
      <c r="A590"/>
      <c r="B590"/>
      <c r="C590"/>
      <c r="D590"/>
      <c r="E590"/>
      <c r="F590"/>
      <c r="G590"/>
    </row>
    <row r="591" spans="1:7" x14ac:dyDescent="0.4">
      <c r="A591"/>
      <c r="B591"/>
      <c r="C591"/>
      <c r="D591"/>
      <c r="E591"/>
      <c r="F591"/>
      <c r="G591"/>
    </row>
    <row r="592" spans="1:7" x14ac:dyDescent="0.4">
      <c r="A592"/>
      <c r="B592"/>
      <c r="C592"/>
      <c r="D592"/>
      <c r="E592"/>
      <c r="F592"/>
      <c r="G592"/>
    </row>
    <row r="593" spans="1:7" x14ac:dyDescent="0.4">
      <c r="A593"/>
      <c r="B593"/>
      <c r="C593"/>
      <c r="D593"/>
      <c r="E593"/>
      <c r="F593"/>
      <c r="G593"/>
    </row>
    <row r="594" spans="1:7" x14ac:dyDescent="0.4">
      <c r="A594"/>
      <c r="B594"/>
      <c r="C594"/>
      <c r="D594"/>
      <c r="E594"/>
      <c r="F594"/>
      <c r="G594"/>
    </row>
    <row r="595" spans="1:7" x14ac:dyDescent="0.4">
      <c r="A595"/>
      <c r="B595"/>
      <c r="C595"/>
      <c r="D595"/>
      <c r="E595"/>
      <c r="F595"/>
      <c r="G595"/>
    </row>
    <row r="596" spans="1:7" x14ac:dyDescent="0.4">
      <c r="A596"/>
      <c r="B596"/>
      <c r="C596"/>
      <c r="D596"/>
      <c r="E596"/>
      <c r="F596"/>
      <c r="G596"/>
    </row>
    <row r="597" spans="1:7" x14ac:dyDescent="0.4">
      <c r="A597"/>
      <c r="B597"/>
      <c r="C597"/>
      <c r="D597"/>
      <c r="E597"/>
      <c r="F597"/>
      <c r="G597"/>
    </row>
    <row r="598" spans="1:7" x14ac:dyDescent="0.4">
      <c r="A598"/>
      <c r="B598"/>
      <c r="C598"/>
      <c r="D598"/>
      <c r="E598"/>
      <c r="F598"/>
      <c r="G598"/>
    </row>
    <row r="599" spans="1:7" x14ac:dyDescent="0.4">
      <c r="A599"/>
      <c r="B599"/>
      <c r="C599"/>
      <c r="D599"/>
      <c r="E599"/>
      <c r="F599"/>
      <c r="G599"/>
    </row>
    <row r="600" spans="1:7" x14ac:dyDescent="0.4">
      <c r="A600"/>
      <c r="B600"/>
      <c r="C600"/>
      <c r="D600"/>
      <c r="E600"/>
      <c r="F600"/>
      <c r="G600"/>
    </row>
    <row r="601" spans="1:7" x14ac:dyDescent="0.4">
      <c r="A601"/>
      <c r="B601"/>
      <c r="C601"/>
      <c r="D601"/>
      <c r="E601"/>
      <c r="F601"/>
      <c r="G601"/>
    </row>
    <row r="602" spans="1:7" x14ac:dyDescent="0.4">
      <c r="A602"/>
      <c r="B602"/>
      <c r="C602"/>
      <c r="D602"/>
      <c r="E602"/>
      <c r="F602"/>
      <c r="G602"/>
    </row>
    <row r="603" spans="1:7" x14ac:dyDescent="0.4">
      <c r="A603"/>
      <c r="B603"/>
      <c r="C603"/>
      <c r="D603"/>
      <c r="E603"/>
      <c r="F603"/>
      <c r="G603"/>
    </row>
    <row r="604" spans="1:7" x14ac:dyDescent="0.4">
      <c r="A604"/>
      <c r="B604"/>
      <c r="C604"/>
      <c r="D604"/>
      <c r="E604"/>
      <c r="F604"/>
      <c r="G604"/>
    </row>
    <row r="605" spans="1:7" x14ac:dyDescent="0.4">
      <c r="A605"/>
      <c r="B605"/>
      <c r="C605"/>
      <c r="D605"/>
      <c r="E605"/>
      <c r="F605"/>
      <c r="G605"/>
    </row>
    <row r="606" spans="1:7" x14ac:dyDescent="0.4">
      <c r="A606"/>
      <c r="B606"/>
      <c r="C606"/>
      <c r="D606"/>
      <c r="E606"/>
      <c r="F606"/>
      <c r="G606"/>
    </row>
    <row r="607" spans="1:7" x14ac:dyDescent="0.4">
      <c r="A607"/>
      <c r="B607"/>
      <c r="C607"/>
      <c r="D607"/>
      <c r="E607"/>
      <c r="F607"/>
      <c r="G607"/>
    </row>
    <row r="608" spans="1:7" x14ac:dyDescent="0.4">
      <c r="A608"/>
      <c r="B608"/>
      <c r="C608"/>
      <c r="D608"/>
      <c r="E608"/>
      <c r="F608"/>
      <c r="G608"/>
    </row>
    <row r="609" spans="1:7" x14ac:dyDescent="0.4">
      <c r="A609"/>
      <c r="B609"/>
      <c r="C609"/>
      <c r="D609"/>
      <c r="E609"/>
      <c r="F609"/>
      <c r="G609"/>
    </row>
    <row r="610" spans="1:7" x14ac:dyDescent="0.4">
      <c r="A610"/>
      <c r="B610"/>
      <c r="C610"/>
      <c r="D610"/>
      <c r="E610"/>
      <c r="F610"/>
      <c r="G610"/>
    </row>
    <row r="611" spans="1:7" x14ac:dyDescent="0.4">
      <c r="A611"/>
      <c r="B611"/>
      <c r="C611"/>
      <c r="D611"/>
      <c r="E611"/>
      <c r="F611"/>
      <c r="G611"/>
    </row>
    <row r="612" spans="1:7" x14ac:dyDescent="0.4">
      <c r="A612"/>
      <c r="B612"/>
      <c r="C612"/>
      <c r="D612"/>
      <c r="E612"/>
      <c r="F612"/>
      <c r="G612"/>
    </row>
    <row r="613" spans="1:7" x14ac:dyDescent="0.4">
      <c r="A613"/>
      <c r="B613"/>
      <c r="C613"/>
      <c r="D613"/>
      <c r="E613"/>
      <c r="F613"/>
      <c r="G613"/>
    </row>
    <row r="614" spans="1:7" x14ac:dyDescent="0.4">
      <c r="A614"/>
      <c r="B614"/>
      <c r="C614"/>
      <c r="D614"/>
      <c r="E614"/>
      <c r="F614"/>
      <c r="G614"/>
    </row>
    <row r="615" spans="1:7" x14ac:dyDescent="0.4">
      <c r="A615"/>
      <c r="B615"/>
      <c r="C615"/>
      <c r="D615"/>
      <c r="E615"/>
      <c r="F615"/>
      <c r="G615"/>
    </row>
    <row r="616" spans="1:7" x14ac:dyDescent="0.4">
      <c r="A616"/>
      <c r="B616"/>
      <c r="C616"/>
      <c r="D616"/>
      <c r="E616"/>
      <c r="F616"/>
      <c r="G616"/>
    </row>
    <row r="617" spans="1:7" x14ac:dyDescent="0.4">
      <c r="A617"/>
      <c r="B617"/>
      <c r="C617"/>
      <c r="D617"/>
      <c r="E617"/>
      <c r="F617"/>
      <c r="G617"/>
    </row>
    <row r="618" spans="1:7" x14ac:dyDescent="0.4">
      <c r="A618"/>
      <c r="B618"/>
      <c r="C618"/>
      <c r="D618"/>
      <c r="E618"/>
      <c r="F618"/>
      <c r="G618"/>
    </row>
    <row r="619" spans="1:7" x14ac:dyDescent="0.4">
      <c r="A619"/>
      <c r="B619"/>
      <c r="C619"/>
      <c r="D619"/>
      <c r="E619"/>
      <c r="F619"/>
      <c r="G619"/>
    </row>
    <row r="620" spans="1:7" x14ac:dyDescent="0.4">
      <c r="A620"/>
      <c r="B620"/>
      <c r="C620"/>
      <c r="D620"/>
      <c r="E620"/>
      <c r="F620"/>
      <c r="G620"/>
    </row>
    <row r="621" spans="1:7" x14ac:dyDescent="0.4">
      <c r="A621"/>
      <c r="B621"/>
      <c r="C621"/>
      <c r="D621"/>
      <c r="E621"/>
      <c r="F621"/>
      <c r="G621"/>
    </row>
    <row r="622" spans="1:7" x14ac:dyDescent="0.4">
      <c r="A622"/>
      <c r="B622"/>
      <c r="C622"/>
      <c r="D622"/>
      <c r="E622"/>
      <c r="F622"/>
      <c r="G622"/>
    </row>
    <row r="623" spans="1:7" x14ac:dyDescent="0.4">
      <c r="A623"/>
      <c r="B623"/>
      <c r="C623"/>
      <c r="D623"/>
      <c r="E623"/>
      <c r="F623"/>
      <c r="G623"/>
    </row>
    <row r="624" spans="1:7" x14ac:dyDescent="0.4">
      <c r="A624"/>
      <c r="B624"/>
      <c r="C624"/>
      <c r="D624"/>
      <c r="E624"/>
      <c r="F624"/>
      <c r="G624"/>
    </row>
    <row r="625" spans="1:7" x14ac:dyDescent="0.4">
      <c r="A625"/>
      <c r="B625"/>
      <c r="C625"/>
      <c r="D625"/>
      <c r="E625"/>
      <c r="F625"/>
      <c r="G625"/>
    </row>
    <row r="626" spans="1:7" x14ac:dyDescent="0.4">
      <c r="A626"/>
      <c r="B626"/>
      <c r="C626"/>
      <c r="D626"/>
      <c r="E626"/>
      <c r="F626"/>
      <c r="G626"/>
    </row>
    <row r="627" spans="1:7" x14ac:dyDescent="0.4">
      <c r="A627"/>
      <c r="B627"/>
      <c r="C627"/>
      <c r="D627"/>
      <c r="E627"/>
      <c r="F627"/>
      <c r="G627"/>
    </row>
    <row r="628" spans="1:7" x14ac:dyDescent="0.4">
      <c r="A628"/>
      <c r="B628"/>
      <c r="C628"/>
      <c r="D628"/>
      <c r="E628"/>
      <c r="F628"/>
      <c r="G628"/>
    </row>
    <row r="629" spans="1:7" x14ac:dyDescent="0.4">
      <c r="A629"/>
      <c r="B629"/>
      <c r="C629"/>
      <c r="D629"/>
      <c r="E629"/>
      <c r="F629"/>
      <c r="G629"/>
    </row>
    <row r="630" spans="1:7" x14ac:dyDescent="0.4">
      <c r="A630"/>
      <c r="B630"/>
      <c r="C630"/>
      <c r="D630"/>
      <c r="E630"/>
      <c r="F630"/>
      <c r="G630"/>
    </row>
    <row r="631" spans="1:7" x14ac:dyDescent="0.4">
      <c r="A631"/>
      <c r="B631"/>
      <c r="C631"/>
      <c r="D631"/>
      <c r="E631"/>
      <c r="F631"/>
      <c r="G631"/>
    </row>
    <row r="632" spans="1:7" x14ac:dyDescent="0.4">
      <c r="A632"/>
      <c r="B632"/>
      <c r="C632"/>
      <c r="D632"/>
      <c r="E632"/>
      <c r="F632"/>
      <c r="G632"/>
    </row>
    <row r="633" spans="1:7" x14ac:dyDescent="0.4">
      <c r="A633"/>
      <c r="B633"/>
      <c r="C633"/>
      <c r="D633"/>
      <c r="E633"/>
      <c r="F633"/>
      <c r="G633"/>
    </row>
    <row r="634" spans="1:7" x14ac:dyDescent="0.4">
      <c r="A634"/>
      <c r="B634"/>
      <c r="C634"/>
      <c r="D634"/>
      <c r="E634"/>
      <c r="F634"/>
      <c r="G634"/>
    </row>
    <row r="635" spans="1:7" x14ac:dyDescent="0.4">
      <c r="A635"/>
      <c r="B635"/>
      <c r="C635"/>
      <c r="D635"/>
      <c r="E635"/>
      <c r="F635"/>
      <c r="G635"/>
    </row>
    <row r="636" spans="1:7" x14ac:dyDescent="0.4">
      <c r="A636"/>
      <c r="B636"/>
      <c r="C636"/>
      <c r="D636"/>
      <c r="E636"/>
      <c r="F636"/>
      <c r="G636"/>
    </row>
    <row r="637" spans="1:7" x14ac:dyDescent="0.4">
      <c r="A637"/>
      <c r="B637"/>
      <c r="C637"/>
      <c r="D637"/>
      <c r="E637"/>
      <c r="F637"/>
      <c r="G637"/>
    </row>
    <row r="638" spans="1:7" x14ac:dyDescent="0.4">
      <c r="A638"/>
      <c r="B638"/>
      <c r="C638"/>
      <c r="D638"/>
      <c r="E638"/>
      <c r="F638"/>
      <c r="G638"/>
    </row>
    <row r="639" spans="1:7" x14ac:dyDescent="0.4">
      <c r="A639"/>
      <c r="B639"/>
      <c r="C639"/>
      <c r="D639"/>
      <c r="E639"/>
      <c r="F639"/>
      <c r="G639"/>
    </row>
    <row r="640" spans="1:7" x14ac:dyDescent="0.4">
      <c r="A640"/>
      <c r="B640"/>
      <c r="C640"/>
      <c r="D640"/>
      <c r="E640"/>
      <c r="F640"/>
      <c r="G640"/>
    </row>
  </sheetData>
  <dataConsolidate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6</xdr:col>
                <xdr:colOff>609600</xdr:colOff>
                <xdr:row>0</xdr:row>
                <xdr:rowOff>0</xdr:rowOff>
              </from>
              <to>
                <xdr:col>8</xdr:col>
                <xdr:colOff>472440</xdr:colOff>
                <xdr:row>1</xdr:row>
                <xdr:rowOff>53340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E33EEA-93EE-4DCC-B324-648F27BF5C7A}">
  <sheetPr codeName="hr"/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9D03D-4ADC-452E-BA79-CB6FF3A2461A}">
  <sheetPr codeName="Sheet1"/>
  <dimension ref="A1:AA51"/>
  <sheetViews>
    <sheetView topLeftCell="A31" workbookViewId="0">
      <selection activeCell="C17" sqref="C17:D17"/>
    </sheetView>
  </sheetViews>
  <sheetFormatPr defaultColWidth="7.8984375" defaultRowHeight="17.399999999999999" x14ac:dyDescent="0.4"/>
  <cols>
    <col min="1" max="1" width="7.8984375" style="65"/>
    <col min="7" max="7" width="7.8984375" style="65"/>
    <col min="9" max="9" width="7.8984375" style="65"/>
    <col min="11" max="11" width="7.8984375" style="65"/>
    <col min="13" max="13" width="7.8984375" style="65"/>
  </cols>
  <sheetData>
    <row r="1" spans="1:27" x14ac:dyDescent="0.4">
      <c r="A1" s="64" t="s">
        <v>155</v>
      </c>
      <c r="B1" s="63"/>
      <c r="C1" s="63"/>
      <c r="D1" s="63"/>
      <c r="E1" s="63"/>
      <c r="F1" s="63"/>
      <c r="G1" s="64"/>
      <c r="H1" s="63"/>
      <c r="R1" s="63"/>
    </row>
    <row r="2" spans="1:27" x14ac:dyDescent="0.4">
      <c r="A2" s="66" t="s">
        <v>156</v>
      </c>
      <c r="B2" s="2" t="s">
        <v>185</v>
      </c>
      <c r="C2" s="67" t="s">
        <v>154</v>
      </c>
      <c r="D2" s="67" t="s">
        <v>161</v>
      </c>
      <c r="E2" s="67" t="s">
        <v>157</v>
      </c>
      <c r="F2" s="67" t="s">
        <v>158</v>
      </c>
      <c r="G2" s="67" t="s">
        <v>159</v>
      </c>
      <c r="H2" s="66" t="s">
        <v>186</v>
      </c>
      <c r="I2" s="67" t="s">
        <v>159</v>
      </c>
      <c r="J2" s="66" t="s">
        <v>186</v>
      </c>
      <c r="K2" s="67" t="s">
        <v>159</v>
      </c>
      <c r="L2" s="66" t="s">
        <v>186</v>
      </c>
      <c r="M2" s="67" t="s">
        <v>159</v>
      </c>
      <c r="N2" s="66" t="s">
        <v>186</v>
      </c>
      <c r="O2" s="86" t="s">
        <v>171</v>
      </c>
      <c r="R2" s="63"/>
    </row>
    <row r="3" spans="1:27" x14ac:dyDescent="0.4">
      <c r="A3" s="90">
        <v>50</v>
      </c>
      <c r="B3" s="72">
        <f>A3</f>
        <v>50</v>
      </c>
      <c r="C3" s="67">
        <v>1</v>
      </c>
      <c r="D3" s="67">
        <v>2</v>
      </c>
      <c r="E3" s="67">
        <v>4</v>
      </c>
      <c r="F3" s="67">
        <v>2</v>
      </c>
      <c r="G3" s="67">
        <v>1</v>
      </c>
      <c r="H3" s="90">
        <v>60</v>
      </c>
      <c r="I3" s="91">
        <v>2</v>
      </c>
      <c r="J3" s="90">
        <v>40</v>
      </c>
      <c r="K3" s="2"/>
      <c r="L3" s="68"/>
      <c r="M3" s="2"/>
      <c r="N3" s="68"/>
      <c r="O3" t="s">
        <v>172</v>
      </c>
      <c r="R3" s="63"/>
    </row>
    <row r="4" spans="1:27" x14ac:dyDescent="0.4">
      <c r="A4" s="90">
        <v>20</v>
      </c>
      <c r="B4" s="72">
        <f>B3+A4</f>
        <v>70</v>
      </c>
      <c r="C4" s="67">
        <v>2</v>
      </c>
      <c r="D4" s="67">
        <v>5</v>
      </c>
      <c r="E4" s="67">
        <v>12</v>
      </c>
      <c r="F4" s="67">
        <v>2</v>
      </c>
      <c r="G4" s="67">
        <v>3</v>
      </c>
      <c r="H4" s="90">
        <v>50</v>
      </c>
      <c r="I4" s="91">
        <v>4</v>
      </c>
      <c r="J4" s="92">
        <v>50</v>
      </c>
      <c r="K4" s="2"/>
      <c r="L4" s="68"/>
      <c r="M4" s="2"/>
      <c r="N4" s="68"/>
      <c r="O4" s="85" t="s">
        <v>167</v>
      </c>
      <c r="R4" s="63"/>
    </row>
    <row r="5" spans="1:27" x14ac:dyDescent="0.4">
      <c r="A5" s="90">
        <v>20</v>
      </c>
      <c r="B5" s="72">
        <f t="shared" ref="B5:B7" si="0">B4+A5</f>
        <v>90</v>
      </c>
      <c r="C5" s="67">
        <v>3</v>
      </c>
      <c r="D5" s="67">
        <v>13</v>
      </c>
      <c r="E5" s="67">
        <v>26</v>
      </c>
      <c r="F5" s="67">
        <v>2</v>
      </c>
      <c r="G5" s="67">
        <v>5</v>
      </c>
      <c r="H5" s="90">
        <v>50</v>
      </c>
      <c r="I5" s="91">
        <v>6</v>
      </c>
      <c r="J5" s="92">
        <v>50</v>
      </c>
      <c r="K5" s="2"/>
      <c r="L5" s="68"/>
      <c r="M5" s="2"/>
      <c r="N5" s="68"/>
      <c r="O5" t="s">
        <v>168</v>
      </c>
      <c r="R5" s="63"/>
    </row>
    <row r="6" spans="1:27" x14ac:dyDescent="0.4">
      <c r="A6" s="90">
        <v>8</v>
      </c>
      <c r="B6" s="72">
        <f t="shared" si="0"/>
        <v>98</v>
      </c>
      <c r="C6" s="67">
        <v>4</v>
      </c>
      <c r="D6" s="67">
        <v>27</v>
      </c>
      <c r="E6" s="67">
        <v>52</v>
      </c>
      <c r="F6" s="67">
        <v>2</v>
      </c>
      <c r="G6" s="67">
        <v>5</v>
      </c>
      <c r="H6" s="90">
        <v>40</v>
      </c>
      <c r="I6" s="91">
        <v>6</v>
      </c>
      <c r="J6" s="92">
        <v>60</v>
      </c>
      <c r="K6" s="2"/>
      <c r="L6" s="68"/>
      <c r="M6" s="2"/>
      <c r="N6" s="68"/>
      <c r="O6" t="s">
        <v>169</v>
      </c>
      <c r="R6" s="63"/>
    </row>
    <row r="7" spans="1:27" x14ac:dyDescent="0.4">
      <c r="A7" s="90">
        <v>2</v>
      </c>
      <c r="B7" s="72">
        <f t="shared" si="0"/>
        <v>100</v>
      </c>
      <c r="C7" s="67">
        <v>5</v>
      </c>
      <c r="D7" s="67">
        <v>53</v>
      </c>
      <c r="E7" s="67">
        <v>80</v>
      </c>
      <c r="F7" s="67">
        <v>2</v>
      </c>
      <c r="G7" s="67">
        <v>5</v>
      </c>
      <c r="H7" s="90">
        <v>30</v>
      </c>
      <c r="I7" s="91">
        <v>6</v>
      </c>
      <c r="J7" s="92">
        <v>70</v>
      </c>
      <c r="K7" s="2"/>
      <c r="L7" s="68"/>
      <c r="M7" s="2"/>
      <c r="N7" s="68"/>
      <c r="O7" t="s">
        <v>170</v>
      </c>
      <c r="R7" s="63"/>
    </row>
    <row r="8" spans="1:27" x14ac:dyDescent="0.4">
      <c r="A8" s="64"/>
      <c r="B8" s="63"/>
      <c r="C8" s="63"/>
      <c r="D8" s="63"/>
      <c r="E8" s="63"/>
      <c r="F8" s="63"/>
      <c r="G8" s="64"/>
      <c r="H8" s="63"/>
      <c r="R8" s="63"/>
    </row>
    <row r="9" spans="1:27" x14ac:dyDescent="0.4">
      <c r="A9" s="64"/>
      <c r="B9" s="63"/>
      <c r="C9" s="63"/>
      <c r="D9" s="63"/>
      <c r="E9" s="63"/>
      <c r="F9" s="63"/>
      <c r="G9" s="64"/>
      <c r="H9" s="63"/>
      <c r="R9" s="63"/>
    </row>
    <row r="10" spans="1:27" x14ac:dyDescent="0.4">
      <c r="A10" s="64"/>
      <c r="B10" s="63"/>
      <c r="C10" s="63"/>
      <c r="D10" s="63"/>
      <c r="E10" s="63"/>
      <c r="F10" s="63"/>
      <c r="G10" s="64"/>
      <c r="H10" s="63"/>
      <c r="R10" s="63"/>
    </row>
    <row r="11" spans="1:27" ht="18" thickBot="1" x14ac:dyDescent="0.45">
      <c r="A11" s="63" t="s">
        <v>162</v>
      </c>
      <c r="B11" s="63" t="s">
        <v>173</v>
      </c>
      <c r="C11" s="63"/>
      <c r="D11" s="63"/>
      <c r="E11" s="63"/>
      <c r="F11" s="63"/>
      <c r="G11" s="64"/>
      <c r="H11" s="63"/>
      <c r="I11" s="64"/>
      <c r="R11" s="63"/>
    </row>
    <row r="12" spans="1:27" ht="18" thickBot="1" x14ac:dyDescent="0.45">
      <c r="A12" s="128" t="s">
        <v>160</v>
      </c>
      <c r="B12" s="131" t="s">
        <v>163</v>
      </c>
      <c r="C12" s="121" t="s">
        <v>178</v>
      </c>
      <c r="D12" s="122"/>
      <c r="E12" s="122"/>
      <c r="F12" s="122"/>
      <c r="G12" s="123"/>
      <c r="H12" s="124" t="s">
        <v>179</v>
      </c>
      <c r="I12" s="122"/>
      <c r="J12" s="122"/>
      <c r="K12" s="122"/>
      <c r="L12" s="123"/>
      <c r="M12" s="124" t="s">
        <v>181</v>
      </c>
      <c r="N12" s="122"/>
      <c r="O12" s="122"/>
      <c r="P12" s="122"/>
      <c r="Q12" s="123"/>
      <c r="R12" s="124" t="s">
        <v>180</v>
      </c>
      <c r="S12" s="122"/>
      <c r="T12" s="122"/>
      <c r="U12" s="122"/>
      <c r="V12" s="123"/>
      <c r="W12" s="124" t="s">
        <v>174</v>
      </c>
      <c r="X12" s="122"/>
      <c r="Y12" s="122"/>
      <c r="Z12" s="122"/>
      <c r="AA12" s="125"/>
    </row>
    <row r="13" spans="1:27" s="38" customFormat="1" x14ac:dyDescent="0.4">
      <c r="A13" s="129"/>
      <c r="B13" s="132"/>
      <c r="C13" s="116" t="s">
        <v>183</v>
      </c>
      <c r="D13" s="117"/>
      <c r="E13" s="118" t="s">
        <v>184</v>
      </c>
      <c r="F13" s="119"/>
      <c r="G13" s="120"/>
      <c r="H13" s="116" t="s">
        <v>183</v>
      </c>
      <c r="I13" s="117"/>
      <c r="J13" s="118" t="s">
        <v>184</v>
      </c>
      <c r="K13" s="119"/>
      <c r="L13" s="120"/>
      <c r="M13" s="116" t="s">
        <v>183</v>
      </c>
      <c r="N13" s="117"/>
      <c r="O13" s="118" t="s">
        <v>184</v>
      </c>
      <c r="P13" s="119"/>
      <c r="Q13" s="120"/>
      <c r="R13" s="116" t="s">
        <v>183</v>
      </c>
      <c r="S13" s="117"/>
      <c r="T13" s="118" t="s">
        <v>184</v>
      </c>
      <c r="U13" s="119"/>
      <c r="V13" s="120"/>
      <c r="W13" s="116" t="s">
        <v>183</v>
      </c>
      <c r="X13" s="117"/>
      <c r="Y13" s="118" t="s">
        <v>184</v>
      </c>
      <c r="Z13" s="119"/>
      <c r="AA13" s="120"/>
    </row>
    <row r="14" spans="1:27" s="38" customFormat="1" ht="18" thickBot="1" x14ac:dyDescent="0.45">
      <c r="A14" s="130"/>
      <c r="B14" s="133"/>
      <c r="C14" s="89" t="s">
        <v>99</v>
      </c>
      <c r="D14" s="69" t="s">
        <v>98</v>
      </c>
      <c r="E14" s="69" t="s">
        <v>164</v>
      </c>
      <c r="F14" s="70" t="s">
        <v>165</v>
      </c>
      <c r="G14" s="69" t="s">
        <v>166</v>
      </c>
      <c r="H14" s="69" t="s">
        <v>99</v>
      </c>
      <c r="I14" s="69" t="s">
        <v>98</v>
      </c>
      <c r="J14" s="69" t="s">
        <v>164</v>
      </c>
      <c r="K14" s="70" t="s">
        <v>165</v>
      </c>
      <c r="L14" s="69" t="s">
        <v>166</v>
      </c>
      <c r="M14" s="69" t="s">
        <v>99</v>
      </c>
      <c r="N14" s="69" t="s">
        <v>98</v>
      </c>
      <c r="O14" s="69" t="s">
        <v>164</v>
      </c>
      <c r="P14" s="70" t="s">
        <v>165</v>
      </c>
      <c r="Q14" s="69" t="s">
        <v>166</v>
      </c>
      <c r="R14" s="69" t="s">
        <v>99</v>
      </c>
      <c r="S14" s="69" t="s">
        <v>98</v>
      </c>
      <c r="T14" s="69" t="s">
        <v>164</v>
      </c>
      <c r="U14" s="70" t="s">
        <v>165</v>
      </c>
      <c r="V14" s="69" t="s">
        <v>166</v>
      </c>
      <c r="W14" s="69" t="s">
        <v>99</v>
      </c>
      <c r="X14" s="69" t="s">
        <v>98</v>
      </c>
      <c r="Y14" s="69" t="s">
        <v>164</v>
      </c>
      <c r="Z14" s="70" t="s">
        <v>165</v>
      </c>
      <c r="AA14" s="84" t="s">
        <v>166</v>
      </c>
    </row>
    <row r="15" spans="1:27" x14ac:dyDescent="0.4">
      <c r="A15" s="87">
        <v>1</v>
      </c>
      <c r="B15" s="93">
        <v>1</v>
      </c>
      <c r="C15" s="94">
        <v>100</v>
      </c>
      <c r="D15" s="95">
        <v>100</v>
      </c>
      <c r="E15" s="96"/>
      <c r="F15" s="96">
        <v>30</v>
      </c>
      <c r="G15" s="97">
        <v>70</v>
      </c>
      <c r="H15" s="80"/>
      <c r="I15" s="95"/>
      <c r="J15" s="98"/>
      <c r="K15" s="98"/>
      <c r="L15" s="99"/>
      <c r="M15" s="81"/>
      <c r="N15" s="98"/>
      <c r="O15" s="98"/>
      <c r="P15" s="98"/>
      <c r="Q15" s="100"/>
      <c r="R15" s="80"/>
      <c r="S15" s="82"/>
      <c r="T15" s="98"/>
      <c r="U15" s="98"/>
      <c r="V15" s="100"/>
      <c r="W15" s="83"/>
      <c r="X15" s="82"/>
      <c r="Y15" s="98"/>
      <c r="Z15" s="98"/>
      <c r="AA15" s="100"/>
    </row>
    <row r="16" spans="1:27" x14ac:dyDescent="0.4">
      <c r="A16" s="88">
        <v>2</v>
      </c>
      <c r="B16" s="101">
        <v>1</v>
      </c>
      <c r="C16" s="102">
        <v>100</v>
      </c>
      <c r="D16" s="95">
        <v>100</v>
      </c>
      <c r="E16" s="91">
        <v>80</v>
      </c>
      <c r="F16" s="91">
        <v>20</v>
      </c>
      <c r="G16" s="103"/>
      <c r="H16" s="71"/>
      <c r="I16" s="90"/>
      <c r="J16" s="90"/>
      <c r="K16" s="90"/>
      <c r="L16" s="104"/>
      <c r="M16" s="75"/>
      <c r="N16" s="90"/>
      <c r="O16" s="90"/>
      <c r="P16" s="90"/>
      <c r="Q16" s="103"/>
      <c r="R16" s="71"/>
      <c r="S16" s="72"/>
      <c r="T16" s="92"/>
      <c r="U16" s="92"/>
      <c r="V16" s="105"/>
      <c r="W16" s="74"/>
      <c r="X16" s="72"/>
      <c r="Y16" s="92"/>
      <c r="Z16" s="92"/>
      <c r="AA16" s="105"/>
    </row>
    <row r="17" spans="1:27" x14ac:dyDescent="0.4">
      <c r="A17" s="88">
        <v>3</v>
      </c>
      <c r="B17" s="101">
        <v>2</v>
      </c>
      <c r="C17" s="102">
        <v>10</v>
      </c>
      <c r="D17" s="90">
        <v>20</v>
      </c>
      <c r="E17" s="91">
        <v>60</v>
      </c>
      <c r="F17" s="91">
        <v>40</v>
      </c>
      <c r="G17" s="103"/>
      <c r="H17" s="71"/>
      <c r="I17" s="90"/>
      <c r="J17" s="90">
        <v>10</v>
      </c>
      <c r="K17" s="90">
        <v>80</v>
      </c>
      <c r="L17" s="104">
        <v>20</v>
      </c>
      <c r="M17" s="75"/>
      <c r="N17" s="90"/>
      <c r="O17" s="90"/>
      <c r="P17" s="90"/>
      <c r="Q17" s="103"/>
      <c r="R17" s="71"/>
      <c r="S17" s="72"/>
      <c r="T17" s="92"/>
      <c r="U17" s="92"/>
      <c r="V17" s="105"/>
      <c r="W17" s="74"/>
      <c r="X17" s="72"/>
      <c r="Y17" s="92"/>
      <c r="Z17" s="92"/>
      <c r="AA17" s="105"/>
    </row>
    <row r="18" spans="1:27" x14ac:dyDescent="0.4">
      <c r="A18" s="87">
        <v>4</v>
      </c>
      <c r="B18" s="101">
        <v>2</v>
      </c>
      <c r="C18" s="102">
        <v>20</v>
      </c>
      <c r="D18" s="90">
        <v>30</v>
      </c>
      <c r="E18" s="90">
        <v>80</v>
      </c>
      <c r="F18" s="91">
        <v>20</v>
      </c>
      <c r="G18" s="103"/>
      <c r="H18" s="71"/>
      <c r="I18" s="90"/>
      <c r="J18" s="92">
        <v>10</v>
      </c>
      <c r="K18" s="92">
        <v>70</v>
      </c>
      <c r="L18" s="106">
        <v>20</v>
      </c>
      <c r="M18" s="73"/>
      <c r="N18" s="92"/>
      <c r="O18" s="92"/>
      <c r="P18" s="92"/>
      <c r="Q18" s="105"/>
      <c r="R18" s="74"/>
      <c r="S18" s="72"/>
      <c r="T18" s="92"/>
      <c r="U18" s="92"/>
      <c r="V18" s="105"/>
      <c r="W18" s="74"/>
      <c r="X18" s="72"/>
      <c r="Y18" s="92"/>
      <c r="Z18" s="92"/>
      <c r="AA18" s="105"/>
    </row>
    <row r="19" spans="1:27" x14ac:dyDescent="0.4">
      <c r="A19" s="88">
        <v>5</v>
      </c>
      <c r="B19" s="101">
        <v>3</v>
      </c>
      <c r="C19" s="102">
        <v>20</v>
      </c>
      <c r="D19" s="90">
        <v>30</v>
      </c>
      <c r="E19" s="91">
        <v>70</v>
      </c>
      <c r="F19" s="91">
        <v>30</v>
      </c>
      <c r="G19" s="103"/>
      <c r="H19" s="71"/>
      <c r="I19" s="90"/>
      <c r="J19" s="92">
        <v>10</v>
      </c>
      <c r="K19" s="92">
        <v>60</v>
      </c>
      <c r="L19" s="106">
        <v>30</v>
      </c>
      <c r="M19" s="73"/>
      <c r="N19" s="92"/>
      <c r="O19" s="92"/>
      <c r="P19" s="92">
        <v>60</v>
      </c>
      <c r="Q19" s="105">
        <v>40</v>
      </c>
      <c r="R19" s="74"/>
      <c r="S19" s="72"/>
      <c r="T19" s="92"/>
      <c r="U19" s="92"/>
      <c r="V19" s="105"/>
      <c r="W19" s="74"/>
      <c r="X19" s="72"/>
      <c r="Y19" s="92"/>
      <c r="Z19" s="92"/>
      <c r="AA19" s="105"/>
    </row>
    <row r="20" spans="1:27" x14ac:dyDescent="0.4">
      <c r="A20" s="88">
        <v>6</v>
      </c>
      <c r="B20" s="101">
        <v>4</v>
      </c>
      <c r="C20" s="102">
        <v>20</v>
      </c>
      <c r="D20" s="90">
        <v>30</v>
      </c>
      <c r="E20" s="90">
        <v>80</v>
      </c>
      <c r="F20" s="90">
        <v>20</v>
      </c>
      <c r="G20" s="103"/>
      <c r="H20" s="71"/>
      <c r="I20" s="90"/>
      <c r="J20" s="92">
        <v>10</v>
      </c>
      <c r="K20" s="92">
        <v>60</v>
      </c>
      <c r="L20" s="106">
        <v>30</v>
      </c>
      <c r="M20" s="73"/>
      <c r="N20" s="92"/>
      <c r="O20" s="92"/>
      <c r="P20" s="92">
        <v>50</v>
      </c>
      <c r="Q20" s="105">
        <v>50</v>
      </c>
      <c r="R20" s="74"/>
      <c r="S20" s="72"/>
      <c r="T20" s="92"/>
      <c r="U20" s="92">
        <v>40</v>
      </c>
      <c r="V20" s="105">
        <v>60</v>
      </c>
      <c r="W20" s="74"/>
      <c r="X20" s="72"/>
      <c r="Y20" s="92"/>
      <c r="Z20" s="92"/>
      <c r="AA20" s="105"/>
    </row>
    <row r="21" spans="1:27" x14ac:dyDescent="0.4">
      <c r="A21" s="63"/>
      <c r="B21" s="76"/>
      <c r="C21" s="76"/>
      <c r="D21" s="76"/>
      <c r="E21" s="76"/>
      <c r="F21" s="76"/>
      <c r="G21" s="77"/>
      <c r="H21" s="76"/>
      <c r="I21" s="77"/>
      <c r="J21" s="78"/>
      <c r="K21" s="79"/>
      <c r="L21" s="78"/>
      <c r="M21" s="79"/>
      <c r="N21" s="78"/>
      <c r="O21" s="78"/>
      <c r="P21" s="78"/>
      <c r="Q21" s="78"/>
      <c r="R21" s="78"/>
      <c r="S21" s="78"/>
      <c r="T21" s="78"/>
      <c r="U21" s="78"/>
      <c r="V21" s="78"/>
      <c r="W21" s="78"/>
      <c r="X21" s="78"/>
      <c r="Y21" s="78"/>
      <c r="Z21" s="78"/>
      <c r="AA21" s="78"/>
    </row>
    <row r="22" spans="1:27" x14ac:dyDescent="0.4">
      <c r="A22" s="65" t="s">
        <v>175</v>
      </c>
      <c r="H22" s="78"/>
      <c r="I22" s="79"/>
      <c r="J22" s="78"/>
      <c r="K22" s="79"/>
      <c r="L22" s="78"/>
      <c r="M22" s="79"/>
      <c r="N22" s="78"/>
      <c r="O22" s="78"/>
      <c r="P22" s="78"/>
      <c r="Q22" s="78"/>
      <c r="R22" s="78"/>
      <c r="S22" s="78"/>
      <c r="T22" s="78"/>
      <c r="U22" s="78"/>
      <c r="V22" s="78"/>
      <c r="W22" s="78"/>
      <c r="X22" s="78"/>
      <c r="Y22" s="78"/>
      <c r="Z22" s="78"/>
      <c r="AA22" s="78"/>
    </row>
    <row r="23" spans="1:27" x14ac:dyDescent="0.4">
      <c r="A23" s="65" t="s">
        <v>176</v>
      </c>
      <c r="H23" s="78"/>
      <c r="I23" s="79"/>
      <c r="J23" s="78"/>
      <c r="K23" s="79"/>
      <c r="L23" s="78"/>
      <c r="M23" s="79"/>
      <c r="N23" s="78"/>
      <c r="O23" s="78"/>
      <c r="P23" s="78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</row>
    <row r="24" spans="1:27" x14ac:dyDescent="0.4">
      <c r="A24" s="65" t="s">
        <v>177</v>
      </c>
      <c r="H24" s="78"/>
      <c r="I24" s="79"/>
      <c r="J24" s="78"/>
      <c r="K24" s="79"/>
      <c r="L24" s="78"/>
      <c r="M24" s="79"/>
      <c r="N24" s="78"/>
      <c r="O24" s="78"/>
      <c r="P24" s="78"/>
      <c r="Q24" s="78"/>
      <c r="R24" s="78"/>
      <c r="S24" s="78"/>
      <c r="T24" s="78"/>
      <c r="U24" s="78"/>
      <c r="V24" s="78"/>
      <c r="W24" s="78"/>
      <c r="X24" s="78"/>
      <c r="Y24" s="78"/>
      <c r="Z24" s="78"/>
      <c r="AA24" s="78"/>
    </row>
    <row r="25" spans="1:27" x14ac:dyDescent="0.4">
      <c r="A25" s="65" t="s">
        <v>182</v>
      </c>
      <c r="H25" s="78"/>
      <c r="I25" s="79"/>
      <c r="J25" s="78"/>
      <c r="K25" s="79"/>
      <c r="L25" s="78"/>
      <c r="M25" s="79"/>
      <c r="N25" s="78"/>
      <c r="O25" s="78"/>
      <c r="P25" s="78"/>
      <c r="Q25" s="78"/>
      <c r="R25" s="78"/>
      <c r="S25" s="78"/>
      <c r="T25" s="78"/>
      <c r="U25" s="78"/>
      <c r="V25" s="78"/>
      <c r="W25" s="78"/>
      <c r="X25" s="78"/>
      <c r="Y25" s="78"/>
      <c r="Z25" s="78"/>
      <c r="AA25" s="78"/>
    </row>
    <row r="27" spans="1:27" s="78" customFormat="1" x14ac:dyDescent="0.4">
      <c r="A27" s="79"/>
      <c r="G27" s="79"/>
      <c r="I27" s="79"/>
      <c r="K27" s="79"/>
      <c r="M27" s="79"/>
    </row>
    <row r="28" spans="1:27" s="78" customFormat="1" x14ac:dyDescent="0.4">
      <c r="A28" s="79"/>
      <c r="G28" s="79"/>
      <c r="I28" s="79"/>
      <c r="K28" s="79"/>
      <c r="M28" s="79"/>
    </row>
    <row r="29" spans="1:27" s="78" customFormat="1" x14ac:dyDescent="0.4">
      <c r="A29" s="111">
        <v>1</v>
      </c>
      <c r="B29" s="112">
        <v>1</v>
      </c>
      <c r="C29" s="126" t="s">
        <v>199</v>
      </c>
      <c r="D29" s="126"/>
      <c r="E29" s="126"/>
      <c r="F29" s="126"/>
      <c r="G29" s="79"/>
      <c r="I29" s="79"/>
      <c r="K29" s="79"/>
      <c r="M29" s="79"/>
    </row>
    <row r="30" spans="1:27" s="78" customFormat="1" ht="10.8" customHeight="1" x14ac:dyDescent="0.4">
      <c r="A30" s="113"/>
      <c r="B30" s="114"/>
      <c r="G30" s="79"/>
      <c r="I30" s="79"/>
      <c r="K30" s="79"/>
      <c r="M30" s="79"/>
    </row>
    <row r="31" spans="1:27" s="78" customFormat="1" x14ac:dyDescent="0.4">
      <c r="A31" s="111">
        <v>2</v>
      </c>
      <c r="B31" s="112">
        <v>1</v>
      </c>
      <c r="C31" s="126" t="s">
        <v>205</v>
      </c>
      <c r="D31" s="126"/>
      <c r="E31" s="126"/>
      <c r="F31" s="126"/>
      <c r="G31" s="79"/>
      <c r="I31" s="79"/>
      <c r="K31" s="79"/>
      <c r="M31" s="79"/>
    </row>
    <row r="32" spans="1:27" s="78" customFormat="1" ht="10.8" customHeight="1" x14ac:dyDescent="0.4">
      <c r="A32" s="113"/>
      <c r="B32" s="114"/>
      <c r="G32" s="79"/>
      <c r="I32" s="79"/>
      <c r="K32" s="79"/>
      <c r="M32" s="79"/>
    </row>
    <row r="33" spans="1:18" s="78" customFormat="1" x14ac:dyDescent="0.4">
      <c r="A33" s="138">
        <v>3</v>
      </c>
      <c r="B33" s="140">
        <v>2</v>
      </c>
      <c r="C33" s="127" t="s">
        <v>201</v>
      </c>
      <c r="D33" s="126"/>
      <c r="G33" s="79"/>
      <c r="I33" s="79"/>
      <c r="K33" s="79"/>
      <c r="M33" s="79"/>
    </row>
    <row r="34" spans="1:18" s="78" customFormat="1" x14ac:dyDescent="0.4">
      <c r="A34" s="138"/>
      <c r="B34" s="141"/>
      <c r="E34" s="126" t="s">
        <v>206</v>
      </c>
      <c r="F34" s="126"/>
      <c r="G34" s="126"/>
      <c r="H34" s="126"/>
      <c r="I34" s="126"/>
      <c r="J34" s="126"/>
      <c r="K34" s="126"/>
      <c r="M34" s="79"/>
    </row>
    <row r="35" spans="1:18" s="78" customFormat="1" ht="10.8" customHeight="1" x14ac:dyDescent="0.4">
      <c r="A35" s="113"/>
      <c r="B35" s="114"/>
      <c r="G35" s="79"/>
      <c r="I35" s="79"/>
      <c r="K35" s="79"/>
      <c r="M35" s="79"/>
    </row>
    <row r="36" spans="1:18" s="78" customFormat="1" x14ac:dyDescent="0.4">
      <c r="A36" s="138">
        <v>4</v>
      </c>
      <c r="B36" s="139">
        <v>2</v>
      </c>
      <c r="C36" s="142" t="s">
        <v>200</v>
      </c>
      <c r="D36" s="142"/>
      <c r="E36" s="127"/>
      <c r="F36" s="107"/>
      <c r="G36" s="79"/>
      <c r="I36" s="79"/>
      <c r="K36" s="79"/>
      <c r="M36" s="79"/>
    </row>
    <row r="37" spans="1:18" s="78" customFormat="1" x14ac:dyDescent="0.4">
      <c r="A37" s="138"/>
      <c r="B37" s="139"/>
      <c r="E37" s="108"/>
      <c r="F37" s="143" t="s">
        <v>206</v>
      </c>
      <c r="G37" s="142"/>
      <c r="H37" s="142"/>
      <c r="I37" s="142"/>
      <c r="J37" s="142"/>
      <c r="K37" s="127"/>
      <c r="M37" s="79"/>
    </row>
    <row r="38" spans="1:18" s="78" customFormat="1" ht="10.8" customHeight="1" x14ac:dyDescent="0.4">
      <c r="A38" s="113"/>
      <c r="B38" s="114"/>
      <c r="G38" s="79"/>
      <c r="I38" s="79"/>
      <c r="K38" s="79"/>
      <c r="M38" s="79"/>
    </row>
    <row r="39" spans="1:18" s="78" customFormat="1" x14ac:dyDescent="0.4">
      <c r="A39" s="138">
        <v>5</v>
      </c>
      <c r="B39" s="139">
        <v>3</v>
      </c>
      <c r="C39" s="127" t="s">
        <v>200</v>
      </c>
      <c r="D39" s="126"/>
      <c r="E39" s="126"/>
      <c r="F39" s="126"/>
      <c r="G39" s="79"/>
      <c r="I39" s="79"/>
      <c r="K39" s="79"/>
      <c r="M39" s="79"/>
    </row>
    <row r="40" spans="1:18" s="78" customFormat="1" x14ac:dyDescent="0.4">
      <c r="A40" s="138"/>
      <c r="B40" s="139"/>
      <c r="F40" s="109"/>
      <c r="G40" s="126" t="s">
        <v>202</v>
      </c>
      <c r="H40" s="126"/>
      <c r="I40" s="126"/>
      <c r="J40" s="126"/>
      <c r="K40" s="126"/>
      <c r="L40" s="126"/>
      <c r="M40" s="126"/>
      <c r="N40" s="126"/>
      <c r="O40" s="126"/>
      <c r="P40" s="126"/>
      <c r="Q40" s="109"/>
      <c r="R40" s="109"/>
    </row>
    <row r="41" spans="1:18" s="78" customFormat="1" x14ac:dyDescent="0.4">
      <c r="A41" s="113"/>
      <c r="B41" s="114"/>
      <c r="G41" s="79"/>
      <c r="I41" s="79"/>
      <c r="J41" s="137"/>
      <c r="K41" s="137"/>
      <c r="M41" s="79"/>
      <c r="N41" s="126" t="s">
        <v>203</v>
      </c>
      <c r="O41" s="126"/>
      <c r="P41" s="126"/>
      <c r="Q41" s="109"/>
      <c r="R41" s="109"/>
    </row>
    <row r="42" spans="1:18" s="78" customFormat="1" ht="10.8" customHeight="1" x14ac:dyDescent="0.4">
      <c r="A42" s="113"/>
      <c r="B42" s="114"/>
      <c r="G42" s="79"/>
      <c r="I42" s="79"/>
      <c r="K42" s="79"/>
      <c r="M42" s="79"/>
    </row>
    <row r="43" spans="1:18" s="78" customFormat="1" x14ac:dyDescent="0.4">
      <c r="A43" s="138">
        <v>6</v>
      </c>
      <c r="B43" s="139">
        <v>4</v>
      </c>
      <c r="C43" s="127" t="s">
        <v>200</v>
      </c>
      <c r="D43" s="126"/>
      <c r="E43" s="126"/>
      <c r="G43" s="79"/>
      <c r="I43" s="79"/>
      <c r="K43" s="79"/>
      <c r="M43" s="79"/>
    </row>
    <row r="44" spans="1:18" s="78" customFormat="1" x14ac:dyDescent="0.4">
      <c r="A44" s="138"/>
      <c r="B44" s="139"/>
      <c r="F44" s="126" t="s">
        <v>202</v>
      </c>
      <c r="G44" s="126"/>
      <c r="H44" s="126"/>
      <c r="I44" s="126"/>
      <c r="J44" s="126"/>
      <c r="K44" s="126"/>
      <c r="L44" s="126"/>
      <c r="M44" s="126"/>
      <c r="N44" s="126"/>
      <c r="O44" s="126"/>
      <c r="P44" s="126"/>
      <c r="Q44" s="126"/>
      <c r="R44" s="126"/>
    </row>
    <row r="45" spans="1:18" x14ac:dyDescent="0.4">
      <c r="A45" s="138"/>
      <c r="B45" s="139"/>
      <c r="H45" s="34"/>
      <c r="I45" s="110"/>
      <c r="J45" s="134"/>
      <c r="K45" s="134"/>
      <c r="O45" s="135" t="s">
        <v>203</v>
      </c>
      <c r="P45" s="135"/>
      <c r="Q45" s="135"/>
      <c r="R45" s="135"/>
    </row>
    <row r="46" spans="1:18" x14ac:dyDescent="0.4">
      <c r="H46" s="134"/>
      <c r="I46" s="134"/>
      <c r="J46" s="34"/>
      <c r="K46" s="110"/>
      <c r="L46" s="136" t="s">
        <v>204</v>
      </c>
      <c r="M46" s="136"/>
      <c r="N46" s="136"/>
      <c r="O46" s="110"/>
      <c r="P46" s="62"/>
      <c r="Q46" s="62"/>
    </row>
    <row r="48" spans="1:18" x14ac:dyDescent="0.4">
      <c r="B48" t="s">
        <v>207</v>
      </c>
    </row>
    <row r="49" spans="2:4" x14ac:dyDescent="0.4">
      <c r="B49" t="s">
        <v>208</v>
      </c>
    </row>
    <row r="50" spans="2:4" x14ac:dyDescent="0.4">
      <c r="B50" t="s">
        <v>209</v>
      </c>
    </row>
    <row r="51" spans="2:4" x14ac:dyDescent="0.4">
      <c r="B51" t="s">
        <v>210</v>
      </c>
      <c r="D51" t="s">
        <v>211</v>
      </c>
    </row>
  </sheetData>
  <mergeCells count="41">
    <mergeCell ref="A43:A45"/>
    <mergeCell ref="B43:B45"/>
    <mergeCell ref="G40:P40"/>
    <mergeCell ref="N41:P41"/>
    <mergeCell ref="A33:A34"/>
    <mergeCell ref="B33:B34"/>
    <mergeCell ref="A36:A37"/>
    <mergeCell ref="B36:B37"/>
    <mergeCell ref="A39:A40"/>
    <mergeCell ref="B39:B40"/>
    <mergeCell ref="J45:K45"/>
    <mergeCell ref="C36:E36"/>
    <mergeCell ref="E34:K34"/>
    <mergeCell ref="F37:K37"/>
    <mergeCell ref="H46:I46"/>
    <mergeCell ref="C39:F39"/>
    <mergeCell ref="F44:R44"/>
    <mergeCell ref="O45:R45"/>
    <mergeCell ref="L46:N46"/>
    <mergeCell ref="J41:K41"/>
    <mergeCell ref="C43:E43"/>
    <mergeCell ref="C29:F29"/>
    <mergeCell ref="C31:F31"/>
    <mergeCell ref="C33:D33"/>
    <mergeCell ref="A12:A14"/>
    <mergeCell ref="B12:B14"/>
    <mergeCell ref="R13:S13"/>
    <mergeCell ref="T13:V13"/>
    <mergeCell ref="W13:X13"/>
    <mergeCell ref="Y13:AA13"/>
    <mergeCell ref="C12:G12"/>
    <mergeCell ref="H12:L12"/>
    <mergeCell ref="M12:Q12"/>
    <mergeCell ref="R12:V12"/>
    <mergeCell ref="W12:AA12"/>
    <mergeCell ref="C13:D13"/>
    <mergeCell ref="E13:G13"/>
    <mergeCell ref="H13:I13"/>
    <mergeCell ref="J13:L13"/>
    <mergeCell ref="M13:N13"/>
    <mergeCell ref="O13:Q13"/>
  </mergeCells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ABAD54-53F4-4394-A32C-5B0F15AC30B8}">
  <sheetPr codeName="Sheet332"/>
  <dimension ref="A1:AM62"/>
  <sheetViews>
    <sheetView topLeftCell="A4" workbookViewId="0">
      <selection activeCell="I13" sqref="I13"/>
    </sheetView>
  </sheetViews>
  <sheetFormatPr defaultColWidth="9.5" defaultRowHeight="17.399999999999999" x14ac:dyDescent="0.4"/>
  <cols>
    <col min="1" max="1" width="10.8984375" customWidth="1"/>
    <col min="2" max="2" width="9.5" style="38"/>
  </cols>
  <sheetData>
    <row r="1" spans="1:39" x14ac:dyDescent="0.4">
      <c r="A1" s="38" t="s">
        <v>123</v>
      </c>
      <c r="C1" s="38"/>
      <c r="D1" s="38"/>
      <c r="E1" s="38"/>
      <c r="F1" s="38"/>
      <c r="G1" s="38"/>
      <c r="H1" s="38"/>
      <c r="I1" s="38"/>
      <c r="J1" s="38"/>
    </row>
    <row r="2" spans="1:39" s="38" customFormat="1" x14ac:dyDescent="0.4"/>
    <row r="3" spans="1:39" x14ac:dyDescent="0.4">
      <c r="A3" s="45" t="s">
        <v>119</v>
      </c>
      <c r="B3" s="40">
        <v>1</v>
      </c>
      <c r="C3" s="6"/>
      <c r="D3" s="6"/>
      <c r="E3" s="6"/>
      <c r="F3" s="7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</row>
    <row r="4" spans="1:39" x14ac:dyDescent="0.4">
      <c r="A4" s="46" t="s">
        <v>94</v>
      </c>
      <c r="B4" s="48">
        <v>10</v>
      </c>
      <c r="C4" s="43"/>
      <c r="D4" s="43"/>
      <c r="E4" s="43"/>
      <c r="F4" s="9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</row>
    <row r="5" spans="1:39" x14ac:dyDescent="0.4">
      <c r="A5" s="46" t="s">
        <v>120</v>
      </c>
      <c r="B5" s="48">
        <v>3</v>
      </c>
      <c r="C5" s="43"/>
      <c r="D5" s="43"/>
      <c r="E5" s="43"/>
      <c r="F5" s="9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8"/>
      <c r="AJ5" s="38"/>
      <c r="AK5" s="38"/>
      <c r="AL5" s="38"/>
      <c r="AM5" s="38"/>
    </row>
    <row r="6" spans="1:39" x14ac:dyDescent="0.4">
      <c r="A6" s="49"/>
      <c r="B6" s="38" t="s">
        <v>132</v>
      </c>
      <c r="C6" s="50" t="s">
        <v>121</v>
      </c>
      <c r="D6" s="50" t="s">
        <v>122</v>
      </c>
      <c r="E6" s="50" t="s">
        <v>114</v>
      </c>
      <c r="F6" s="50" t="s">
        <v>115</v>
      </c>
      <c r="G6" s="51" t="s">
        <v>116</v>
      </c>
    </row>
    <row r="7" spans="1:39" x14ac:dyDescent="0.4">
      <c r="A7" s="49" t="s">
        <v>124</v>
      </c>
      <c r="B7" s="50">
        <v>1</v>
      </c>
      <c r="C7" s="50">
        <v>2</v>
      </c>
      <c r="D7" s="50"/>
      <c r="E7" s="50"/>
      <c r="F7" s="51"/>
    </row>
    <row r="8" spans="1:39" x14ac:dyDescent="0.4">
      <c r="A8" s="49" t="s">
        <v>125</v>
      </c>
      <c r="B8" s="50">
        <v>3</v>
      </c>
      <c r="C8" s="50">
        <v>7</v>
      </c>
      <c r="D8" s="50"/>
      <c r="E8" s="50"/>
      <c r="F8" s="51"/>
    </row>
    <row r="9" spans="1:39" x14ac:dyDescent="0.4">
      <c r="A9" s="49" t="s">
        <v>126</v>
      </c>
      <c r="B9" s="50">
        <v>8</v>
      </c>
      <c r="C9" s="43">
        <v>10</v>
      </c>
      <c r="D9" s="43"/>
      <c r="E9" s="43"/>
      <c r="F9" s="9"/>
    </row>
    <row r="10" spans="1:39" x14ac:dyDescent="0.4">
      <c r="A10" s="46" t="s">
        <v>127</v>
      </c>
      <c r="B10" s="43"/>
      <c r="C10" s="43"/>
      <c r="D10" s="43"/>
      <c r="E10" s="43"/>
      <c r="F10" s="9"/>
    </row>
    <row r="11" spans="1:39" x14ac:dyDescent="0.4">
      <c r="A11" s="46" t="s">
        <v>128</v>
      </c>
      <c r="B11" s="10"/>
      <c r="C11" s="10"/>
      <c r="D11" s="10"/>
      <c r="E11" s="10"/>
      <c r="F11" s="11"/>
    </row>
    <row r="12" spans="1:39" x14ac:dyDescent="0.4">
      <c r="A12" s="45" t="s">
        <v>119</v>
      </c>
      <c r="B12" s="6">
        <v>2</v>
      </c>
      <c r="C12" s="6"/>
      <c r="D12" s="6"/>
      <c r="E12" s="6"/>
      <c r="F12" s="7"/>
    </row>
    <row r="13" spans="1:39" x14ac:dyDescent="0.4">
      <c r="A13" s="46" t="s">
        <v>94</v>
      </c>
      <c r="B13" s="44">
        <v>10</v>
      </c>
      <c r="C13" s="44"/>
      <c r="D13" s="44"/>
      <c r="E13" s="44"/>
      <c r="F13" s="9"/>
    </row>
    <row r="14" spans="1:39" x14ac:dyDescent="0.4">
      <c r="A14" s="46" t="s">
        <v>120</v>
      </c>
      <c r="B14" s="44">
        <v>3</v>
      </c>
      <c r="C14" s="44"/>
      <c r="D14" s="44"/>
      <c r="E14" s="44"/>
      <c r="F14" s="9"/>
    </row>
    <row r="15" spans="1:39" x14ac:dyDescent="0.4">
      <c r="A15" s="46" t="s">
        <v>124</v>
      </c>
      <c r="B15" s="44" t="s">
        <v>121</v>
      </c>
      <c r="C15" s="44" t="s">
        <v>122</v>
      </c>
      <c r="D15" s="44" t="s">
        <v>114</v>
      </c>
      <c r="E15" s="44" t="s">
        <v>115</v>
      </c>
      <c r="F15" s="9" t="s">
        <v>116</v>
      </c>
    </row>
    <row r="16" spans="1:39" x14ac:dyDescent="0.4">
      <c r="A16" s="46" t="s">
        <v>125</v>
      </c>
      <c r="B16" s="44"/>
      <c r="C16" s="44"/>
      <c r="D16" s="44"/>
      <c r="E16" s="44"/>
      <c r="F16" s="9"/>
    </row>
    <row r="17" spans="1:6" x14ac:dyDescent="0.4">
      <c r="A17" s="46" t="s">
        <v>126</v>
      </c>
      <c r="B17" s="44"/>
      <c r="C17" s="44"/>
      <c r="D17" s="44"/>
      <c r="E17" s="44"/>
      <c r="F17" s="9"/>
    </row>
    <row r="18" spans="1:6" x14ac:dyDescent="0.4">
      <c r="A18" s="46" t="s">
        <v>127</v>
      </c>
      <c r="B18" s="44"/>
      <c r="C18" s="44"/>
      <c r="D18" s="44"/>
      <c r="E18" s="44"/>
      <c r="F18" s="9"/>
    </row>
    <row r="19" spans="1:6" x14ac:dyDescent="0.4">
      <c r="A19" s="46" t="s">
        <v>128</v>
      </c>
      <c r="B19" s="44"/>
      <c r="C19" s="44"/>
      <c r="D19" s="44"/>
      <c r="E19" s="44"/>
      <c r="F19" s="9"/>
    </row>
    <row r="20" spans="1:6" x14ac:dyDescent="0.4">
      <c r="A20" s="47" t="s">
        <v>129</v>
      </c>
      <c r="B20" s="10"/>
      <c r="C20" s="10"/>
      <c r="D20" s="10"/>
      <c r="E20" s="10"/>
      <c r="F20" s="11"/>
    </row>
    <row r="21" spans="1:6" x14ac:dyDescent="0.4">
      <c r="A21" s="45" t="s">
        <v>119</v>
      </c>
      <c r="B21" s="6">
        <v>3</v>
      </c>
      <c r="C21" s="6"/>
      <c r="D21" s="6"/>
      <c r="E21" s="6"/>
      <c r="F21" s="7"/>
    </row>
    <row r="22" spans="1:6" x14ac:dyDescent="0.4">
      <c r="A22" s="46" t="s">
        <v>94</v>
      </c>
      <c r="B22" s="44">
        <v>10</v>
      </c>
      <c r="C22" s="44"/>
      <c r="D22" s="44"/>
      <c r="E22" s="44"/>
      <c r="F22" s="9"/>
    </row>
    <row r="23" spans="1:6" x14ac:dyDescent="0.4">
      <c r="A23" s="46" t="s">
        <v>120</v>
      </c>
      <c r="B23" s="44">
        <v>3</v>
      </c>
      <c r="C23" s="44"/>
      <c r="D23" s="44"/>
      <c r="E23" s="44"/>
      <c r="F23" s="9"/>
    </row>
    <row r="24" spans="1:6" x14ac:dyDescent="0.4">
      <c r="A24" s="46" t="s">
        <v>124</v>
      </c>
      <c r="B24" s="44" t="s">
        <v>121</v>
      </c>
      <c r="C24" s="44" t="s">
        <v>122</v>
      </c>
      <c r="D24" s="44" t="s">
        <v>114</v>
      </c>
      <c r="E24" s="44" t="s">
        <v>115</v>
      </c>
      <c r="F24" s="9" t="s">
        <v>116</v>
      </c>
    </row>
    <row r="25" spans="1:6" x14ac:dyDescent="0.4">
      <c r="A25" s="46" t="s">
        <v>125</v>
      </c>
      <c r="B25" s="44"/>
      <c r="C25" s="44"/>
      <c r="D25" s="44"/>
      <c r="E25" s="44"/>
      <c r="F25" s="9"/>
    </row>
    <row r="26" spans="1:6" x14ac:dyDescent="0.4">
      <c r="A26" s="46" t="s">
        <v>126</v>
      </c>
      <c r="B26" s="44"/>
      <c r="C26" s="44"/>
      <c r="D26" s="44"/>
      <c r="E26" s="44"/>
      <c r="F26" s="9"/>
    </row>
    <row r="27" spans="1:6" x14ac:dyDescent="0.4">
      <c r="A27" s="46" t="s">
        <v>127</v>
      </c>
      <c r="B27" s="44"/>
      <c r="C27" s="44"/>
      <c r="D27" s="44"/>
      <c r="E27" s="44"/>
      <c r="F27" s="9"/>
    </row>
    <row r="28" spans="1:6" x14ac:dyDescent="0.4">
      <c r="A28" s="46" t="s">
        <v>128</v>
      </c>
      <c r="B28" s="44"/>
      <c r="C28" s="44"/>
      <c r="D28" s="44"/>
      <c r="E28" s="44"/>
      <c r="F28" s="9"/>
    </row>
    <row r="29" spans="1:6" x14ac:dyDescent="0.4">
      <c r="A29" s="47" t="s">
        <v>129</v>
      </c>
      <c r="B29" s="10"/>
      <c r="C29" s="10"/>
      <c r="D29" s="10"/>
      <c r="E29" s="10"/>
      <c r="F29" s="11"/>
    </row>
    <row r="30" spans="1:6" x14ac:dyDescent="0.4">
      <c r="A30" s="38"/>
    </row>
    <row r="31" spans="1:6" x14ac:dyDescent="0.4">
      <c r="A31" s="38"/>
    </row>
    <row r="32" spans="1:6" x14ac:dyDescent="0.4">
      <c r="A32" s="38"/>
    </row>
    <row r="33" spans="1:1" x14ac:dyDescent="0.4">
      <c r="A33" s="38"/>
    </row>
    <row r="34" spans="1:1" x14ac:dyDescent="0.4">
      <c r="A34" s="38"/>
    </row>
    <row r="35" spans="1:1" x14ac:dyDescent="0.4">
      <c r="A35" s="38"/>
    </row>
    <row r="36" spans="1:1" x14ac:dyDescent="0.4">
      <c r="A36" s="38"/>
    </row>
    <row r="37" spans="1:1" x14ac:dyDescent="0.4">
      <c r="A37" s="38"/>
    </row>
    <row r="38" spans="1:1" x14ac:dyDescent="0.4">
      <c r="A38" s="38"/>
    </row>
    <row r="39" spans="1:1" x14ac:dyDescent="0.4">
      <c r="A39" s="38"/>
    </row>
    <row r="40" spans="1:1" x14ac:dyDescent="0.4">
      <c r="A40" s="38"/>
    </row>
    <row r="41" spans="1:1" x14ac:dyDescent="0.4">
      <c r="A41" s="38"/>
    </row>
    <row r="42" spans="1:1" x14ac:dyDescent="0.4">
      <c r="A42" s="38"/>
    </row>
    <row r="43" spans="1:1" x14ac:dyDescent="0.4">
      <c r="A43" s="38"/>
    </row>
    <row r="44" spans="1:1" x14ac:dyDescent="0.4">
      <c r="A44" s="38"/>
    </row>
    <row r="45" spans="1:1" x14ac:dyDescent="0.4">
      <c r="A45" s="38"/>
    </row>
    <row r="46" spans="1:1" x14ac:dyDescent="0.4">
      <c r="A46" s="38"/>
    </row>
    <row r="47" spans="1:1" x14ac:dyDescent="0.4">
      <c r="A47" s="38"/>
    </row>
    <row r="48" spans="1:1" x14ac:dyDescent="0.4">
      <c r="A48" s="38"/>
    </row>
    <row r="49" spans="1:1" x14ac:dyDescent="0.4">
      <c r="A49" s="38"/>
    </row>
    <row r="50" spans="1:1" x14ac:dyDescent="0.4">
      <c r="A50" s="38"/>
    </row>
    <row r="51" spans="1:1" x14ac:dyDescent="0.4">
      <c r="A51" s="38"/>
    </row>
    <row r="52" spans="1:1" x14ac:dyDescent="0.4">
      <c r="A52" s="38"/>
    </row>
    <row r="53" spans="1:1" x14ac:dyDescent="0.4">
      <c r="A53" s="38"/>
    </row>
    <row r="54" spans="1:1" x14ac:dyDescent="0.4">
      <c r="A54" s="38"/>
    </row>
    <row r="55" spans="1:1" x14ac:dyDescent="0.4">
      <c r="A55" s="38"/>
    </row>
    <row r="56" spans="1:1" x14ac:dyDescent="0.4">
      <c r="A56" s="38"/>
    </row>
    <row r="57" spans="1:1" x14ac:dyDescent="0.4">
      <c r="A57" s="38"/>
    </row>
    <row r="58" spans="1:1" x14ac:dyDescent="0.4">
      <c r="A58" s="38"/>
    </row>
    <row r="59" spans="1:1" x14ac:dyDescent="0.4">
      <c r="A59" s="38"/>
    </row>
    <row r="60" spans="1:1" x14ac:dyDescent="0.4">
      <c r="A60" s="38"/>
    </row>
    <row r="61" spans="1:1" x14ac:dyDescent="0.4">
      <c r="A61" s="38"/>
    </row>
    <row r="62" spans="1:1" x14ac:dyDescent="0.4">
      <c r="A62" s="38"/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24F13-3B27-44A6-B39F-8920B5E914F1}">
  <sheetPr codeName="datastructer"/>
  <dimension ref="A1:G34"/>
  <sheetViews>
    <sheetView topLeftCell="A10" workbookViewId="0">
      <selection activeCell="I33" sqref="I33"/>
    </sheetView>
  </sheetViews>
  <sheetFormatPr defaultRowHeight="17.399999999999999" x14ac:dyDescent="0.4"/>
  <cols>
    <col min="1" max="2" width="8.796875" style="20"/>
    <col min="3" max="3" width="13.69921875" style="20" bestFit="1" customWidth="1"/>
    <col min="4" max="5" width="8.796875" style="20"/>
    <col min="6" max="6" width="8.796875" style="21"/>
    <col min="7" max="7" width="13" style="20" bestFit="1" customWidth="1"/>
    <col min="8" max="16384" width="8.796875" style="20"/>
  </cols>
  <sheetData>
    <row r="1" spans="1:7" s="19" customFormat="1" x14ac:dyDescent="0.4">
      <c r="F1" s="27"/>
    </row>
    <row r="2" spans="1:7" s="19" customFormat="1" x14ac:dyDescent="0.4">
      <c r="A2" s="146" t="s">
        <v>48</v>
      </c>
      <c r="B2" s="147"/>
      <c r="F2" s="27"/>
    </row>
    <row r="3" spans="1:7" s="19" customFormat="1" x14ac:dyDescent="0.4">
      <c r="A3" s="28" t="s">
        <v>49</v>
      </c>
      <c r="B3" s="29" t="s">
        <v>50</v>
      </c>
      <c r="F3" s="27"/>
    </row>
    <row r="5" spans="1:7" x14ac:dyDescent="0.4">
      <c r="A5" s="144" t="s">
        <v>33</v>
      </c>
      <c r="B5" s="22" t="s">
        <v>47</v>
      </c>
    </row>
    <row r="6" spans="1:7" x14ac:dyDescent="0.4">
      <c r="A6" s="144"/>
      <c r="B6" s="144" t="s">
        <v>34</v>
      </c>
      <c r="D6" s="23"/>
      <c r="E6" s="23"/>
      <c r="F6" s="24"/>
      <c r="G6" s="32" t="s">
        <v>40</v>
      </c>
    </row>
    <row r="7" spans="1:7" x14ac:dyDescent="0.4">
      <c r="A7" s="144"/>
      <c r="B7" s="144"/>
      <c r="D7" s="23"/>
      <c r="E7" s="23"/>
      <c r="F7" s="24"/>
      <c r="G7" s="32" t="s">
        <v>41</v>
      </c>
    </row>
    <row r="8" spans="1:7" x14ac:dyDescent="0.4">
      <c r="A8" s="144"/>
      <c r="B8" s="144"/>
      <c r="D8" s="23"/>
      <c r="E8" s="23"/>
      <c r="F8" s="24"/>
      <c r="G8" s="32" t="s">
        <v>42</v>
      </c>
    </row>
    <row r="9" spans="1:7" x14ac:dyDescent="0.4">
      <c r="A9" s="144"/>
      <c r="B9" s="26" t="s">
        <v>63</v>
      </c>
      <c r="D9" s="23"/>
      <c r="E9" s="23"/>
      <c r="F9" s="24"/>
      <c r="G9" s="33"/>
    </row>
    <row r="10" spans="1:7" x14ac:dyDescent="0.4">
      <c r="A10" s="144"/>
      <c r="B10" s="26" t="s">
        <v>62</v>
      </c>
      <c r="D10" s="23"/>
      <c r="E10" s="23"/>
      <c r="F10" s="24"/>
      <c r="G10" s="33"/>
    </row>
    <row r="11" spans="1:7" x14ac:dyDescent="0.4">
      <c r="A11" s="144"/>
      <c r="B11" s="26" t="s">
        <v>64</v>
      </c>
      <c r="C11" s="20" t="s">
        <v>65</v>
      </c>
      <c r="D11" s="23"/>
      <c r="E11" s="23"/>
      <c r="F11" s="24"/>
      <c r="G11" s="33"/>
    </row>
    <row r="12" spans="1:7" x14ac:dyDescent="0.4">
      <c r="A12" s="144"/>
      <c r="B12" s="25" t="s">
        <v>51</v>
      </c>
      <c r="C12" s="24"/>
      <c r="D12" s="23"/>
      <c r="E12" s="23"/>
      <c r="F12" s="24"/>
      <c r="G12" s="23"/>
    </row>
    <row r="13" spans="1:7" x14ac:dyDescent="0.4">
      <c r="A13" s="144"/>
      <c r="B13" s="26" t="s">
        <v>46</v>
      </c>
      <c r="C13" s="24"/>
      <c r="D13" s="23"/>
      <c r="E13" s="23"/>
      <c r="F13" s="24"/>
      <c r="G13" s="23"/>
    </row>
    <row r="14" spans="1:7" x14ac:dyDescent="0.4">
      <c r="A14" s="144"/>
      <c r="B14" s="149" t="s">
        <v>43</v>
      </c>
      <c r="C14" s="30" t="s">
        <v>51</v>
      </c>
      <c r="D14" s="23"/>
      <c r="E14" s="23"/>
      <c r="F14" s="24"/>
      <c r="G14" s="23"/>
    </row>
    <row r="15" spans="1:7" x14ac:dyDescent="0.4">
      <c r="A15" s="144"/>
      <c r="B15" s="150"/>
      <c r="C15" s="31" t="s">
        <v>57</v>
      </c>
      <c r="D15" s="23"/>
      <c r="E15" s="23"/>
      <c r="F15" s="24"/>
      <c r="G15" s="23"/>
    </row>
    <row r="16" spans="1:7" x14ac:dyDescent="0.4">
      <c r="A16" s="144"/>
      <c r="B16" s="150"/>
      <c r="C16" s="145" t="s">
        <v>58</v>
      </c>
      <c r="D16" s="148" t="s">
        <v>52</v>
      </c>
      <c r="E16" s="26" t="s">
        <v>35</v>
      </c>
      <c r="F16" s="24"/>
      <c r="G16" s="26" t="s">
        <v>37</v>
      </c>
    </row>
    <row r="17" spans="1:7" x14ac:dyDescent="0.4">
      <c r="A17" s="144"/>
      <c r="B17" s="150"/>
      <c r="C17" s="145"/>
      <c r="D17" s="148"/>
      <c r="E17" s="26" t="s">
        <v>36</v>
      </c>
      <c r="F17" s="24"/>
      <c r="G17" s="26" t="s">
        <v>37</v>
      </c>
    </row>
    <row r="18" spans="1:7" x14ac:dyDescent="0.4">
      <c r="A18" s="144"/>
      <c r="B18" s="150"/>
      <c r="C18" s="145"/>
      <c r="D18" s="148"/>
      <c r="E18" s="26" t="s">
        <v>39</v>
      </c>
      <c r="F18" s="24"/>
      <c r="G18" s="26" t="s">
        <v>37</v>
      </c>
    </row>
    <row r="19" spans="1:7" x14ac:dyDescent="0.4">
      <c r="A19" s="144"/>
      <c r="B19" s="150"/>
      <c r="C19" s="145" t="s">
        <v>59</v>
      </c>
      <c r="D19" s="148" t="s">
        <v>52</v>
      </c>
      <c r="E19" s="26" t="s">
        <v>35</v>
      </c>
      <c r="F19" s="24"/>
      <c r="G19" s="26" t="s">
        <v>37</v>
      </c>
    </row>
    <row r="20" spans="1:7" x14ac:dyDescent="0.4">
      <c r="A20" s="144"/>
      <c r="B20" s="150"/>
      <c r="C20" s="145"/>
      <c r="D20" s="148"/>
      <c r="E20" s="26" t="s">
        <v>36</v>
      </c>
      <c r="F20" s="24"/>
      <c r="G20" s="26" t="s">
        <v>37</v>
      </c>
    </row>
    <row r="21" spans="1:7" x14ac:dyDescent="0.4">
      <c r="A21" s="144"/>
      <c r="B21" s="150"/>
      <c r="C21" s="145"/>
      <c r="D21" s="148"/>
      <c r="E21" s="26" t="s">
        <v>39</v>
      </c>
      <c r="F21" s="24"/>
      <c r="G21" s="26" t="s">
        <v>37</v>
      </c>
    </row>
    <row r="22" spans="1:7" x14ac:dyDescent="0.4">
      <c r="A22" s="144"/>
      <c r="B22" s="150"/>
      <c r="C22" s="145" t="s">
        <v>60</v>
      </c>
      <c r="D22" s="148" t="s">
        <v>52</v>
      </c>
      <c r="E22" s="26" t="s">
        <v>35</v>
      </c>
      <c r="F22" s="24"/>
      <c r="G22" s="26" t="s">
        <v>37</v>
      </c>
    </row>
    <row r="23" spans="1:7" x14ac:dyDescent="0.4">
      <c r="A23" s="144"/>
      <c r="B23" s="150"/>
      <c r="C23" s="145"/>
      <c r="D23" s="148"/>
      <c r="E23" s="26" t="s">
        <v>36</v>
      </c>
      <c r="F23" s="24"/>
      <c r="G23" s="26" t="s">
        <v>37</v>
      </c>
    </row>
    <row r="24" spans="1:7" x14ac:dyDescent="0.4">
      <c r="A24" s="144"/>
      <c r="B24" s="151"/>
      <c r="C24" s="145"/>
      <c r="D24" s="148"/>
      <c r="E24" s="26" t="s">
        <v>39</v>
      </c>
      <c r="F24" s="24"/>
      <c r="G24" s="26" t="s">
        <v>37</v>
      </c>
    </row>
    <row r="25" spans="1:7" x14ac:dyDescent="0.4">
      <c r="A25" s="144"/>
      <c r="B25" s="144" t="s">
        <v>44</v>
      </c>
      <c r="C25" s="30" t="s">
        <v>51</v>
      </c>
      <c r="D25" s="23"/>
      <c r="E25" s="23"/>
      <c r="F25" s="24"/>
      <c r="G25" s="23"/>
    </row>
    <row r="26" spans="1:7" x14ac:dyDescent="0.4">
      <c r="A26" s="144"/>
      <c r="B26" s="144"/>
      <c r="C26" s="31" t="s">
        <v>57</v>
      </c>
      <c r="D26" s="23"/>
      <c r="E26" s="23"/>
      <c r="F26" s="24"/>
      <c r="G26" s="23"/>
    </row>
    <row r="27" spans="1:7" x14ac:dyDescent="0.4">
      <c r="A27" s="144"/>
      <c r="B27" s="144"/>
      <c r="C27" s="145" t="s">
        <v>61</v>
      </c>
      <c r="D27" s="144" t="s">
        <v>38</v>
      </c>
      <c r="E27" s="26" t="s">
        <v>35</v>
      </c>
      <c r="F27" s="24"/>
      <c r="G27" s="26" t="s">
        <v>37</v>
      </c>
    </row>
    <row r="28" spans="1:7" x14ac:dyDescent="0.4">
      <c r="A28" s="144"/>
      <c r="B28" s="144"/>
      <c r="C28" s="145"/>
      <c r="D28" s="144"/>
      <c r="E28" s="26" t="s">
        <v>36</v>
      </c>
      <c r="F28" s="24"/>
      <c r="G28" s="26" t="s">
        <v>37</v>
      </c>
    </row>
    <row r="29" spans="1:7" x14ac:dyDescent="0.4">
      <c r="A29" s="144"/>
      <c r="B29" s="144"/>
      <c r="C29" s="145"/>
      <c r="D29" s="144"/>
      <c r="E29" s="26" t="s">
        <v>39</v>
      </c>
      <c r="F29" s="24"/>
      <c r="G29" s="26" t="s">
        <v>37</v>
      </c>
    </row>
    <row r="30" spans="1:7" x14ac:dyDescent="0.4">
      <c r="A30" s="144"/>
      <c r="B30" s="144" t="s">
        <v>45</v>
      </c>
      <c r="C30" s="30" t="s">
        <v>51</v>
      </c>
      <c r="D30" s="23"/>
      <c r="E30" s="23"/>
      <c r="F30" s="24"/>
      <c r="G30" s="23"/>
    </row>
    <row r="31" spans="1:7" x14ac:dyDescent="0.4">
      <c r="A31" s="144"/>
      <c r="B31" s="144"/>
      <c r="C31" s="31" t="s">
        <v>57</v>
      </c>
      <c r="D31" s="23"/>
      <c r="E31" s="23"/>
      <c r="F31" s="24"/>
      <c r="G31" s="23"/>
    </row>
    <row r="32" spans="1:7" x14ac:dyDescent="0.4">
      <c r="A32" s="144"/>
      <c r="B32" s="144"/>
      <c r="C32" s="145" t="s">
        <v>61</v>
      </c>
      <c r="D32" s="144" t="s">
        <v>38</v>
      </c>
      <c r="E32" s="26" t="s">
        <v>35</v>
      </c>
      <c r="F32" s="24"/>
      <c r="G32" s="26" t="s">
        <v>37</v>
      </c>
    </row>
    <row r="33" spans="1:7" x14ac:dyDescent="0.4">
      <c r="A33" s="144"/>
      <c r="B33" s="144"/>
      <c r="C33" s="145"/>
      <c r="D33" s="144"/>
      <c r="E33" s="26" t="s">
        <v>36</v>
      </c>
      <c r="F33" s="24"/>
      <c r="G33" s="26" t="s">
        <v>37</v>
      </c>
    </row>
    <row r="34" spans="1:7" x14ac:dyDescent="0.4">
      <c r="A34" s="144"/>
      <c r="B34" s="144"/>
      <c r="C34" s="145"/>
      <c r="D34" s="144"/>
      <c r="E34" s="26" t="s">
        <v>39</v>
      </c>
      <c r="F34" s="24"/>
      <c r="G34" s="26" t="s">
        <v>37</v>
      </c>
    </row>
  </sheetData>
  <mergeCells count="16">
    <mergeCell ref="B30:B34"/>
    <mergeCell ref="C32:C34"/>
    <mergeCell ref="D32:D34"/>
    <mergeCell ref="A5:A34"/>
    <mergeCell ref="A2:B2"/>
    <mergeCell ref="C19:C21"/>
    <mergeCell ref="D19:D21"/>
    <mergeCell ref="C22:C24"/>
    <mergeCell ref="D22:D24"/>
    <mergeCell ref="B6:B8"/>
    <mergeCell ref="C16:C18"/>
    <mergeCell ref="D16:D18"/>
    <mergeCell ref="B25:B29"/>
    <mergeCell ref="C27:C29"/>
    <mergeCell ref="D27:D29"/>
    <mergeCell ref="B14:B24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2424-1A4D-45EE-B0E1-9B327F77AE5B}">
  <sheetPr codeName="Sheet5"/>
  <dimension ref="A2:E29"/>
  <sheetViews>
    <sheetView tabSelected="1" topLeftCell="A7" workbookViewId="0">
      <selection activeCell="G20" sqref="G20"/>
    </sheetView>
  </sheetViews>
  <sheetFormatPr defaultRowHeight="17.399999999999999" x14ac:dyDescent="0.4"/>
  <cols>
    <col min="1" max="1" width="15.3984375" bestFit="1" customWidth="1"/>
    <col min="2" max="2" width="14.19921875" customWidth="1"/>
    <col min="3" max="3" width="10.796875" customWidth="1"/>
  </cols>
  <sheetData>
    <row r="2" spans="1:5" x14ac:dyDescent="0.4">
      <c r="A2" t="s">
        <v>75</v>
      </c>
      <c r="B2" s="37" t="s">
        <v>83</v>
      </c>
    </row>
    <row r="3" spans="1:5" x14ac:dyDescent="0.4">
      <c r="A3" t="s">
        <v>76</v>
      </c>
      <c r="B3" s="36" t="s">
        <v>84</v>
      </c>
    </row>
    <row r="4" spans="1:5" x14ac:dyDescent="0.4">
      <c r="A4" t="s">
        <v>77</v>
      </c>
      <c r="B4" s="35" t="s">
        <v>80</v>
      </c>
    </row>
    <row r="5" spans="1:5" x14ac:dyDescent="0.4">
      <c r="A5" t="s">
        <v>78</v>
      </c>
      <c r="B5" s="35" t="s">
        <v>81</v>
      </c>
    </row>
    <row r="6" spans="1:5" x14ac:dyDescent="0.4">
      <c r="A6" t="s">
        <v>79</v>
      </c>
      <c r="B6" s="35" t="s">
        <v>82</v>
      </c>
    </row>
    <row r="10" spans="1:5" x14ac:dyDescent="0.4">
      <c r="A10" t="s">
        <v>212</v>
      </c>
      <c r="B10" t="s">
        <v>213</v>
      </c>
      <c r="C10">
        <v>0.3</v>
      </c>
    </row>
    <row r="11" spans="1:5" x14ac:dyDescent="0.4">
      <c r="C11" t="s">
        <v>214</v>
      </c>
      <c r="D11" s="153"/>
    </row>
    <row r="12" spans="1:5" x14ac:dyDescent="0.4">
      <c r="A12">
        <v>1</v>
      </c>
      <c r="B12" s="152">
        <f>C10</f>
        <v>0.3</v>
      </c>
      <c r="C12" s="153">
        <f>B12</f>
        <v>0.3</v>
      </c>
      <c r="D12">
        <f>B12</f>
        <v>0.3</v>
      </c>
    </row>
    <row r="13" spans="1:5" x14ac:dyDescent="0.4">
      <c r="A13">
        <v>2</v>
      </c>
      <c r="B13" s="152">
        <f>$C$10-C12*$C$10</f>
        <v>0.21</v>
      </c>
      <c r="C13" s="153">
        <f>C12+B13</f>
        <v>0.51</v>
      </c>
      <c r="E13">
        <f>1-C12*B13</f>
        <v>0.93700000000000006</v>
      </c>
    </row>
    <row r="14" spans="1:5" x14ac:dyDescent="0.4">
      <c r="A14">
        <v>3</v>
      </c>
      <c r="B14" s="152">
        <f t="shared" ref="B14:B27" si="0">$C$10-C13*$C$10</f>
        <v>0.14699999999999999</v>
      </c>
      <c r="C14" s="153">
        <f t="shared" ref="C14:C27" si="1">C13+B14</f>
        <v>0.65700000000000003</v>
      </c>
    </row>
    <row r="15" spans="1:5" x14ac:dyDescent="0.4">
      <c r="A15" s="38">
        <v>4</v>
      </c>
      <c r="B15" s="152">
        <f t="shared" si="0"/>
        <v>0.10289999999999999</v>
      </c>
      <c r="C15" s="153">
        <f t="shared" si="1"/>
        <v>0.75990000000000002</v>
      </c>
    </row>
    <row r="16" spans="1:5" x14ac:dyDescent="0.4">
      <c r="A16" s="38">
        <v>5</v>
      </c>
      <c r="B16" s="152">
        <f t="shared" si="0"/>
        <v>7.2029999999999983E-2</v>
      </c>
      <c r="C16" s="153">
        <f t="shared" si="1"/>
        <v>0.83193000000000006</v>
      </c>
    </row>
    <row r="17" spans="1:3" x14ac:dyDescent="0.4">
      <c r="A17" s="38">
        <v>6</v>
      </c>
      <c r="B17" s="152">
        <f t="shared" si="0"/>
        <v>5.0420999999999994E-2</v>
      </c>
      <c r="C17" s="153">
        <f t="shared" si="1"/>
        <v>0.88235100000000011</v>
      </c>
    </row>
    <row r="18" spans="1:3" x14ac:dyDescent="0.4">
      <c r="A18" s="38">
        <v>7</v>
      </c>
      <c r="B18" s="152">
        <f t="shared" si="0"/>
        <v>3.5294699999999957E-2</v>
      </c>
      <c r="C18" s="153">
        <f t="shared" si="1"/>
        <v>0.91764570000000001</v>
      </c>
    </row>
    <row r="19" spans="1:3" x14ac:dyDescent="0.4">
      <c r="A19" s="38">
        <v>8</v>
      </c>
      <c r="B19" s="152">
        <f t="shared" si="0"/>
        <v>2.470629000000002E-2</v>
      </c>
      <c r="C19" s="153">
        <f t="shared" si="1"/>
        <v>0.94235199000000003</v>
      </c>
    </row>
    <row r="20" spans="1:3" x14ac:dyDescent="0.4">
      <c r="A20" s="38">
        <v>9</v>
      </c>
      <c r="B20" s="152">
        <f t="shared" si="0"/>
        <v>1.7294403000000014E-2</v>
      </c>
      <c r="C20" s="153">
        <f t="shared" si="1"/>
        <v>0.9596463930000001</v>
      </c>
    </row>
    <row r="21" spans="1:3" x14ac:dyDescent="0.4">
      <c r="A21" s="38">
        <v>10</v>
      </c>
      <c r="B21" s="152">
        <f t="shared" si="0"/>
        <v>1.2106082099999971E-2</v>
      </c>
      <c r="C21" s="153">
        <f t="shared" si="1"/>
        <v>0.97175247510000007</v>
      </c>
    </row>
    <row r="22" spans="1:3" x14ac:dyDescent="0.4">
      <c r="A22" s="38">
        <v>11</v>
      </c>
      <c r="B22" s="152">
        <f t="shared" si="0"/>
        <v>8.4742574699999684E-3</v>
      </c>
      <c r="C22" s="153">
        <f t="shared" si="1"/>
        <v>0.98022673257000004</v>
      </c>
    </row>
    <row r="23" spans="1:3" x14ac:dyDescent="0.4">
      <c r="A23" s="38">
        <v>12</v>
      </c>
      <c r="B23" s="152">
        <f t="shared" si="0"/>
        <v>5.931980228999989E-3</v>
      </c>
      <c r="C23" s="153">
        <f t="shared" si="1"/>
        <v>0.98615871279900003</v>
      </c>
    </row>
    <row r="24" spans="1:3" x14ac:dyDescent="0.4">
      <c r="A24" s="38">
        <v>13</v>
      </c>
      <c r="B24" s="152">
        <f t="shared" si="0"/>
        <v>4.1523861603000034E-3</v>
      </c>
      <c r="C24" s="153">
        <f t="shared" si="1"/>
        <v>0.99031109895930003</v>
      </c>
    </row>
    <row r="25" spans="1:3" x14ac:dyDescent="0.4">
      <c r="A25" s="38">
        <v>14</v>
      </c>
      <c r="B25" s="152">
        <f t="shared" si="0"/>
        <v>2.9066703122099802E-3</v>
      </c>
      <c r="C25" s="153">
        <f t="shared" si="1"/>
        <v>0.99321776927151006</v>
      </c>
    </row>
    <row r="26" spans="1:3" x14ac:dyDescent="0.4">
      <c r="A26" s="38">
        <v>15</v>
      </c>
      <c r="B26" s="152">
        <f t="shared" si="0"/>
        <v>2.0346692185470028E-3</v>
      </c>
      <c r="C26" s="153">
        <f t="shared" si="1"/>
        <v>0.99525243849005707</v>
      </c>
    </row>
    <row r="27" spans="1:3" x14ac:dyDescent="0.4">
      <c r="A27" s="38">
        <v>16</v>
      </c>
      <c r="B27" s="152">
        <f t="shared" si="0"/>
        <v>1.4242684529828797E-3</v>
      </c>
      <c r="C27" s="153">
        <f t="shared" si="1"/>
        <v>0.99667670694304</v>
      </c>
    </row>
    <row r="28" spans="1:3" x14ac:dyDescent="0.4">
      <c r="A28" s="38">
        <v>17</v>
      </c>
      <c r="B28" s="38">
        <f t="shared" ref="B14:B29" si="2">B27</f>
        <v>1.4242684529828797E-3</v>
      </c>
      <c r="C28" s="153">
        <f t="shared" ref="C14:C29" si="3">C27+$C$10-(C27*B28)</f>
        <v>1.2952571717515182</v>
      </c>
    </row>
    <row r="29" spans="1:3" x14ac:dyDescent="0.4">
      <c r="A29" s="38">
        <v>18</v>
      </c>
      <c r="B29" s="38">
        <f t="shared" si="2"/>
        <v>1.4242684529828797E-3</v>
      </c>
      <c r="C29" s="153">
        <f t="shared" si="3"/>
        <v>1.5934123778232927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project2</vt:lpstr>
      <vt:lpstr>dashboard</vt:lpstr>
      <vt:lpstr>old_project</vt:lpstr>
      <vt:lpstr>parameters</vt:lpstr>
      <vt:lpstr>generator</vt:lpstr>
      <vt:lpstr>project</vt:lpstr>
      <vt:lpstr>hr</vt:lpstr>
      <vt:lpstr>activity_struct</vt:lpstr>
      <vt:lpstr>new_struct</vt:lpstr>
      <vt:lpstr>datastructer</vt:lpstr>
      <vt:lpstr>옵션설명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Jiho Song</dc:creator>
  <cp:lastModifiedBy>송지호</cp:lastModifiedBy>
  <dcterms:created xsi:type="dcterms:W3CDTF">2015-06-05T18:19:34Z</dcterms:created>
  <dcterms:modified xsi:type="dcterms:W3CDTF">2024-06-07T13:11:06Z</dcterms:modified>
</cp:coreProperties>
</file>