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6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project\Dissertation\"/>
    </mc:Choice>
  </mc:AlternateContent>
  <xr:revisionPtr revIDLastSave="0" documentId="13_ncr:1_{2BF4B8ED-0E80-40DF-A3D1-BEB5E560B182}" xr6:coauthVersionLast="36" xr6:coauthVersionMax="36" xr10:uidLastSave="{00000000-0000-0000-0000-000000000000}"/>
  <bookViews>
    <workbookView xWindow="0" yWindow="0" windowWidth="22260" windowHeight="12648" activeTab="1" xr2:uid="{00000000-000D-0000-FFFF-FFFF00000000}"/>
  </bookViews>
  <sheets>
    <sheet name="generator" sheetId="1" r:id="rId1"/>
    <sheet name="project" sheetId="2" r:id="rId2"/>
    <sheet name="hr" sheetId="3" r:id="rId3"/>
    <sheet name="datastructer" sheetId="4" r:id="rId4"/>
    <sheet name="activity" sheetId="5" r:id="rId5"/>
    <sheet name="옵션설명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1" i="2" l="1"/>
  <c r="D41" i="2"/>
  <c r="B41" i="2"/>
  <c r="C40" i="2"/>
  <c r="D40" i="2"/>
  <c r="B40" i="2"/>
  <c r="C7" i="1"/>
  <c r="C8" i="1"/>
  <c r="C10" i="1" l="1"/>
</calcChain>
</file>

<file path=xl/sharedStrings.xml><?xml version="1.0" encoding="utf-8"?>
<sst xmlns="http://schemas.openxmlformats.org/spreadsheetml/2006/main" count="136" uniqueCount="98">
  <si>
    <t>* 문제에 사용할 데이터를 생성한다.</t>
    <phoneticPr fontId="1" type="noConversion"/>
  </si>
  <si>
    <t>* 생성하는 데이터를 위한 기초정보를 기록한다.</t>
    <phoneticPr fontId="1" type="noConversion"/>
  </si>
  <si>
    <t>project</t>
    <phoneticPr fontId="1" type="noConversion"/>
  </si>
  <si>
    <t>구분</t>
    <phoneticPr fontId="1" type="noConversion"/>
  </si>
  <si>
    <t>type</t>
    <phoneticPr fontId="1" type="noConversion"/>
  </si>
  <si>
    <t>ActCntLB</t>
    <phoneticPr fontId="1" type="noConversion"/>
  </si>
  <si>
    <t>ActCntUB</t>
    <phoneticPr fontId="1" type="noConversion"/>
  </si>
  <si>
    <t>최소 활동수</t>
    <phoneticPr fontId="1" type="noConversion"/>
  </si>
  <si>
    <t>최대 활동수</t>
    <phoneticPr fontId="1" type="noConversion"/>
  </si>
  <si>
    <t>ActModeLB</t>
    <phoneticPr fontId="1" type="noConversion"/>
  </si>
  <si>
    <t>ActModeUB</t>
    <phoneticPr fontId="1" type="noConversion"/>
  </si>
  <si>
    <t>최대 모드수</t>
    <phoneticPr fontId="1" type="noConversion"/>
  </si>
  <si>
    <t>최소 모드수</t>
    <phoneticPr fontId="1" type="noConversion"/>
  </si>
  <si>
    <t>ActDurLB</t>
    <phoneticPr fontId="1" type="noConversion"/>
  </si>
  <si>
    <t>ActDurUB</t>
    <phoneticPr fontId="1" type="noConversion"/>
  </si>
  <si>
    <t>Global</t>
    <phoneticPr fontId="1" type="noConversion"/>
  </si>
  <si>
    <t>배열 - 타입별 발생주기</t>
    <phoneticPr fontId="1" type="noConversion"/>
  </si>
  <si>
    <t>typePeriod</t>
    <phoneticPr fontId="1" type="noConversion"/>
  </si>
  <si>
    <t>배열크기</t>
    <phoneticPr fontId="1" type="noConversion"/>
  </si>
  <si>
    <t>배열의 값들</t>
    <phoneticPr fontId="1" type="noConversion"/>
  </si>
  <si>
    <t>typeDelay</t>
    <phoneticPr fontId="1" type="noConversion"/>
  </si>
  <si>
    <t>typeOderChance</t>
    <phoneticPr fontId="1" type="noConversion"/>
  </si>
  <si>
    <t>배열- 타입별 수주가능성</t>
    <phoneticPr fontId="1" type="noConversion"/>
  </si>
  <si>
    <t>typeProfit</t>
    <phoneticPr fontId="1" type="noConversion"/>
  </si>
  <si>
    <t>배열- 타입별 이익</t>
    <phoneticPr fontId="1" type="noConversion"/>
  </si>
  <si>
    <t>typeCnt</t>
    <phoneticPr fontId="1" type="noConversion"/>
  </si>
  <si>
    <t>배열 - 타입별 발생-수주 기간</t>
    <phoneticPr fontId="1" type="noConversion"/>
  </si>
  <si>
    <t>프로젝트 구분 타입</t>
    <phoneticPr fontId="1" type="noConversion"/>
  </si>
  <si>
    <t>외부프로젝트는 인원수에서 역산?? 내부는 분포로?</t>
    <phoneticPr fontId="1" type="noConversion"/>
  </si>
  <si>
    <t>최소 활동기간(월)</t>
    <phoneticPr fontId="1" type="noConversion"/>
  </si>
  <si>
    <t>최대 활동기간(월)</t>
    <phoneticPr fontId="1" type="noConversion"/>
  </si>
  <si>
    <t>시뮬레이션의 기간(월)</t>
    <phoneticPr fontId="1" type="noConversion"/>
  </si>
  <si>
    <t>last</t>
    <phoneticPr fontId="1" type="noConversion"/>
  </si>
  <si>
    <t>project_end</t>
    <phoneticPr fontId="1" type="noConversion"/>
  </si>
  <si>
    <t>프로젝트 구성요소들의 개수</t>
    <phoneticPr fontId="1" type="noConversion"/>
  </si>
  <si>
    <t>PrjDataSize</t>
    <phoneticPr fontId="1" type="noConversion"/>
  </si>
  <si>
    <t>행의 갯수 계산을 위해서 언제나 마지막은 이 포맷을 유지한다.</t>
    <phoneticPr fontId="1" type="noConversion"/>
  </si>
  <si>
    <t>프로젝트</t>
    <phoneticPr fontId="1" type="noConversion"/>
  </si>
  <si>
    <t>타입</t>
    <phoneticPr fontId="1" type="noConversion"/>
  </si>
  <si>
    <t>고급</t>
    <phoneticPr fontId="1" type="noConversion"/>
  </si>
  <si>
    <t>중급</t>
    <phoneticPr fontId="1" type="noConversion"/>
  </si>
  <si>
    <t>인건비</t>
    <phoneticPr fontId="1" type="noConversion"/>
  </si>
  <si>
    <t>자원</t>
    <phoneticPr fontId="1" type="noConversion"/>
  </si>
  <si>
    <t>초급</t>
    <phoneticPr fontId="1" type="noConversion"/>
  </si>
  <si>
    <t>발생주기</t>
    <phoneticPr fontId="1" type="noConversion"/>
  </si>
  <si>
    <t>수주까지 시간</t>
    <phoneticPr fontId="1" type="noConversion"/>
  </si>
  <si>
    <t>수주확률</t>
    <phoneticPr fontId="1" type="noConversion"/>
  </si>
  <si>
    <t>활동1</t>
    <phoneticPr fontId="1" type="noConversion"/>
  </si>
  <si>
    <t>활동2</t>
    <phoneticPr fontId="1" type="noConversion"/>
  </si>
  <si>
    <t>활동n</t>
    <phoneticPr fontId="1" type="noConversion"/>
  </si>
  <si>
    <t>활동수n</t>
    <phoneticPr fontId="1" type="noConversion"/>
  </si>
  <si>
    <t>번호</t>
    <phoneticPr fontId="1" type="noConversion"/>
  </si>
  <si>
    <t>범례</t>
    <phoneticPr fontId="1" type="noConversion"/>
  </si>
  <si>
    <t>입력값</t>
    <phoneticPr fontId="1" type="noConversion"/>
  </si>
  <si>
    <t>계산결과</t>
    <phoneticPr fontId="1" type="noConversion"/>
  </si>
  <si>
    <t>기간※</t>
    <phoneticPr fontId="1" type="noConversion"/>
  </si>
  <si>
    <t>자원※</t>
    <phoneticPr fontId="1" type="noConversion"/>
  </si>
  <si>
    <t>hr</t>
    <phoneticPr fontId="1" type="noConversion"/>
  </si>
  <si>
    <t>최초에 보유한 고급 인력</t>
    <phoneticPr fontId="1" type="noConversion"/>
  </si>
  <si>
    <t>최초에 보유한 중급 인력</t>
    <phoneticPr fontId="1" type="noConversion"/>
  </si>
  <si>
    <t>최초에 보유한 초급 인력</t>
    <phoneticPr fontId="1" type="noConversion"/>
  </si>
  <si>
    <t>모드수n</t>
    <phoneticPr fontId="1" type="noConversion"/>
  </si>
  <si>
    <t>모드1</t>
    <phoneticPr fontId="1" type="noConversion"/>
  </si>
  <si>
    <t>모드2</t>
    <phoneticPr fontId="1" type="noConversion"/>
  </si>
  <si>
    <t>모드n</t>
    <phoneticPr fontId="1" type="noConversion"/>
  </si>
  <si>
    <t>모드들</t>
    <phoneticPr fontId="1" type="noConversion"/>
  </si>
  <si>
    <t>시작(월)</t>
    <phoneticPr fontId="1" type="noConversion"/>
  </si>
  <si>
    <t>발주(월)</t>
    <phoneticPr fontId="1" type="noConversion"/>
  </si>
  <si>
    <t>상태</t>
    <phoneticPr fontId="1" type="noConversion"/>
  </si>
  <si>
    <t>시작, 중지,종료</t>
    <phoneticPr fontId="1" type="noConversion"/>
  </si>
  <si>
    <t>Policy</t>
    <phoneticPr fontId="1" type="noConversion"/>
  </si>
  <si>
    <t>cash</t>
    <phoneticPr fontId="1" type="noConversion"/>
  </si>
  <si>
    <t>인력 충원에 걸리는 시간</t>
    <phoneticPr fontId="1" type="noConversion"/>
  </si>
  <si>
    <t>최초 보유한 자금</t>
    <phoneticPr fontId="1" type="noConversion"/>
  </si>
  <si>
    <t>Hr_Init_H</t>
    <phoneticPr fontId="1" type="noConversion"/>
  </si>
  <si>
    <t>Hr_Init_M</t>
    <phoneticPr fontId="1" type="noConversion"/>
  </si>
  <si>
    <t>Hr_Init_L</t>
    <phoneticPr fontId="1" type="noConversion"/>
  </si>
  <si>
    <t>Hr_LeadTime</t>
    <phoneticPr fontId="1" type="noConversion"/>
  </si>
  <si>
    <t>Cash_Init</t>
    <phoneticPr fontId="1" type="noConversion"/>
  </si>
  <si>
    <t>Optimistic</t>
  </si>
  <si>
    <t>Most Likely</t>
  </si>
  <si>
    <t>Pessimistic</t>
  </si>
  <si>
    <t>Earliest Expected</t>
  </si>
  <si>
    <t xml:space="preserve">Realistic Times </t>
  </si>
  <si>
    <t>비관적</t>
  </si>
  <si>
    <t>가장 이른 예상일</t>
  </si>
  <si>
    <t>리얼타임</t>
  </si>
  <si>
    <t>낙관적</t>
    <phoneticPr fontId="1" type="noConversion"/>
  </si>
  <si>
    <t>일반적</t>
    <phoneticPr fontId="1" type="noConversion"/>
  </si>
  <si>
    <t>Opt</t>
    <phoneticPr fontId="1" type="noConversion"/>
  </si>
  <si>
    <t>ML</t>
    <phoneticPr fontId="1" type="noConversion"/>
  </si>
  <si>
    <t>Pess</t>
    <phoneticPr fontId="1" type="noConversion"/>
  </si>
  <si>
    <t>Opt</t>
  </si>
  <si>
    <t>ML</t>
  </si>
  <si>
    <t>Pess</t>
  </si>
  <si>
    <t>DataIndex</t>
  </si>
  <si>
    <t>LastIndex</t>
  </si>
  <si>
    <t>SimulTerm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</si>
</sst>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Microsoft YaHei"/>
      <family val="2"/>
      <charset val="134"/>
    </font>
    <font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7" xfId="0" quotePrefix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2" xfId="0" applyFill="1" applyBorder="1"/>
    <xf numFmtId="0" fontId="0" fillId="2" borderId="3" xfId="0" applyFill="1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0" xfId="0" applyFill="1" applyBorder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1" xfId="0" applyFill="1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0</xdr:row>
          <xdr:rowOff>76200</xdr:rowOff>
        </xdr:from>
        <xdr:to>
          <xdr:col>2</xdr:col>
          <xdr:colOff>541020</xdr:colOff>
          <xdr:row>1</xdr:row>
          <xdr:rowOff>121920</xdr:rowOff>
        </xdr:to>
        <xdr:sp macro="" textlink="">
          <xdr:nvSpPr>
            <xdr:cNvPr id="1025" name="Gener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enerator"/>
  <dimension ref="A3:M51"/>
  <sheetViews>
    <sheetView workbookViewId="0">
      <selection activeCell="D7" sqref="D7"/>
    </sheetView>
  </sheetViews>
  <sheetFormatPr defaultRowHeight="17.399999999999999" x14ac:dyDescent="0.4"/>
  <cols>
    <col min="2" max="2" width="11.8984375" bestFit="1" customWidth="1"/>
    <col min="4" max="4" width="29.19921875" customWidth="1"/>
    <col min="6" max="8" width="7.19921875" customWidth="1"/>
    <col min="9" max="13" width="8.796875" style="18"/>
  </cols>
  <sheetData>
    <row r="3" spans="1:8" x14ac:dyDescent="0.4">
      <c r="A3" s="1" t="s">
        <v>0</v>
      </c>
    </row>
    <row r="4" spans="1:8" x14ac:dyDescent="0.4">
      <c r="A4" s="1" t="s">
        <v>1</v>
      </c>
    </row>
    <row r="6" spans="1:8" x14ac:dyDescent="0.4">
      <c r="A6" s="2" t="s">
        <v>3</v>
      </c>
      <c r="B6" s="4"/>
      <c r="C6" s="4"/>
      <c r="D6" s="4"/>
      <c r="E6" s="4" t="s">
        <v>18</v>
      </c>
      <c r="F6" s="4" t="s">
        <v>19</v>
      </c>
      <c r="G6" s="4"/>
      <c r="H6" s="5"/>
    </row>
    <row r="7" spans="1:8" x14ac:dyDescent="0.4">
      <c r="A7" s="13" t="s">
        <v>15</v>
      </c>
      <c r="B7" s="6" t="s">
        <v>95</v>
      </c>
      <c r="C7" s="6">
        <f>MATCH("project",A:A,0)</f>
        <v>22</v>
      </c>
      <c r="D7" s="6"/>
      <c r="E7" s="6"/>
      <c r="F7" s="6"/>
      <c r="G7" s="6"/>
      <c r="H7" s="7"/>
    </row>
    <row r="8" spans="1:8" x14ac:dyDescent="0.4">
      <c r="A8" s="14"/>
      <c r="B8" s="8" t="s">
        <v>96</v>
      </c>
      <c r="C8" s="8">
        <f>MATCH("last",A:A,0)-MATCH("Global",A:A,0)+1</f>
        <v>45</v>
      </c>
      <c r="D8" s="8"/>
      <c r="E8" s="8"/>
      <c r="F8" s="8"/>
      <c r="G8" s="8"/>
      <c r="H8" s="9"/>
    </row>
    <row r="9" spans="1:8" x14ac:dyDescent="0.4">
      <c r="A9" s="14"/>
      <c r="B9" s="8" t="s">
        <v>97</v>
      </c>
      <c r="C9" s="8">
        <v>36</v>
      </c>
      <c r="D9" s="8" t="s">
        <v>31</v>
      </c>
      <c r="E9" s="8"/>
      <c r="F9" s="8"/>
      <c r="G9" s="8"/>
      <c r="H9" s="9"/>
    </row>
    <row r="10" spans="1:8" x14ac:dyDescent="0.4">
      <c r="A10" s="14"/>
      <c r="B10" s="8" t="s">
        <v>35</v>
      </c>
      <c r="C10" s="8">
        <f>MATCH("project_end",A:A,0)-MATCH("project",A:A,0)+1</f>
        <v>10</v>
      </c>
      <c r="D10" s="8" t="s">
        <v>34</v>
      </c>
      <c r="E10" s="8"/>
      <c r="F10" s="8"/>
      <c r="G10" s="8"/>
      <c r="H10" s="9"/>
    </row>
    <row r="11" spans="1:8" x14ac:dyDescent="0.4">
      <c r="A11" s="14"/>
      <c r="B11" s="8" t="s">
        <v>74</v>
      </c>
      <c r="C11" s="8">
        <v>13</v>
      </c>
      <c r="D11" s="8" t="s">
        <v>58</v>
      </c>
      <c r="E11" s="8"/>
      <c r="F11" s="8"/>
      <c r="G11" s="8"/>
      <c r="H11" s="9"/>
    </row>
    <row r="12" spans="1:8" x14ac:dyDescent="0.4">
      <c r="A12" s="14"/>
      <c r="B12" s="8" t="s">
        <v>75</v>
      </c>
      <c r="C12" s="8">
        <v>21</v>
      </c>
      <c r="D12" s="8" t="s">
        <v>59</v>
      </c>
      <c r="E12" s="8"/>
      <c r="F12" s="8"/>
      <c r="G12" s="8"/>
      <c r="H12" s="9"/>
    </row>
    <row r="13" spans="1:8" x14ac:dyDescent="0.4">
      <c r="A13" s="14"/>
      <c r="B13" s="8" t="s">
        <v>76</v>
      </c>
      <c r="C13" s="34">
        <v>6</v>
      </c>
      <c r="D13" s="8" t="s">
        <v>60</v>
      </c>
      <c r="E13" s="8"/>
      <c r="F13" s="8"/>
      <c r="G13" s="8"/>
      <c r="H13" s="9"/>
    </row>
    <row r="14" spans="1:8" x14ac:dyDescent="0.4">
      <c r="A14" s="14"/>
      <c r="B14" s="34" t="s">
        <v>77</v>
      </c>
      <c r="C14" s="34">
        <v>3</v>
      </c>
      <c r="D14" s="34" t="s">
        <v>72</v>
      </c>
      <c r="E14" s="8"/>
      <c r="F14" s="8"/>
      <c r="G14" s="8"/>
      <c r="H14" s="9"/>
    </row>
    <row r="15" spans="1:8" x14ac:dyDescent="0.4">
      <c r="A15" s="14"/>
      <c r="B15" s="34" t="s">
        <v>78</v>
      </c>
      <c r="C15" s="8"/>
      <c r="D15" s="34" t="s">
        <v>73</v>
      </c>
      <c r="E15" s="8"/>
      <c r="F15" s="8"/>
      <c r="G15" s="8"/>
      <c r="H15" s="9"/>
    </row>
    <row r="16" spans="1:8" x14ac:dyDescent="0.4">
      <c r="A16" s="14"/>
      <c r="B16" s="34"/>
      <c r="C16" s="8"/>
      <c r="D16" s="8"/>
      <c r="E16" s="8"/>
      <c r="F16" s="8"/>
      <c r="G16" s="8"/>
      <c r="H16" s="9"/>
    </row>
    <row r="17" spans="1:8" x14ac:dyDescent="0.4">
      <c r="A17" s="14"/>
      <c r="B17" s="8"/>
      <c r="C17" s="8"/>
      <c r="D17" s="8"/>
      <c r="E17" s="8"/>
      <c r="F17" s="8"/>
      <c r="G17" s="8"/>
      <c r="H17" s="9"/>
    </row>
    <row r="18" spans="1:8" x14ac:dyDescent="0.4">
      <c r="A18" s="14"/>
      <c r="B18" s="8"/>
      <c r="C18" s="8"/>
      <c r="D18" s="8"/>
      <c r="E18" s="8"/>
      <c r="F18" s="8"/>
      <c r="G18" s="8"/>
      <c r="H18" s="9"/>
    </row>
    <row r="19" spans="1:8" x14ac:dyDescent="0.4">
      <c r="A19" s="14"/>
      <c r="B19" s="8"/>
      <c r="C19" s="8"/>
      <c r="D19" s="8"/>
      <c r="E19" s="8"/>
      <c r="F19" s="8"/>
      <c r="G19" s="8"/>
      <c r="H19" s="9"/>
    </row>
    <row r="20" spans="1:8" x14ac:dyDescent="0.4">
      <c r="A20" s="14"/>
      <c r="B20" s="8"/>
      <c r="C20" s="8"/>
      <c r="D20" s="8"/>
      <c r="E20" s="8"/>
      <c r="F20" s="8"/>
      <c r="G20" s="8"/>
      <c r="H20" s="9"/>
    </row>
    <row r="21" spans="1:8" x14ac:dyDescent="0.4">
      <c r="A21" s="15"/>
      <c r="B21" s="10"/>
      <c r="C21" s="10"/>
      <c r="D21" s="10"/>
      <c r="E21" s="10"/>
      <c r="F21" s="10"/>
      <c r="G21" s="10"/>
      <c r="H21" s="11"/>
    </row>
    <row r="22" spans="1:8" x14ac:dyDescent="0.4">
      <c r="A22" s="13" t="s">
        <v>2</v>
      </c>
      <c r="B22" t="s">
        <v>89</v>
      </c>
      <c r="C22" s="6">
        <v>0.6</v>
      </c>
      <c r="D22" s="37" t="s">
        <v>87</v>
      </c>
      <c r="E22" s="6"/>
      <c r="F22" s="6"/>
      <c r="G22" s="6"/>
      <c r="H22" s="7"/>
    </row>
    <row r="23" spans="1:8" x14ac:dyDescent="0.4">
      <c r="A23" s="14"/>
      <c r="B23" t="s">
        <v>90</v>
      </c>
      <c r="C23" s="8">
        <v>0.25</v>
      </c>
      <c r="D23" s="36" t="s">
        <v>88</v>
      </c>
      <c r="E23" s="8"/>
      <c r="F23" s="8"/>
      <c r="G23" s="8"/>
      <c r="H23" s="9"/>
    </row>
    <row r="24" spans="1:8" x14ac:dyDescent="0.4">
      <c r="A24" s="14"/>
      <c r="B24" t="s">
        <v>91</v>
      </c>
      <c r="C24" s="8">
        <v>0.17499999999999999</v>
      </c>
      <c r="D24" s="35" t="s">
        <v>84</v>
      </c>
      <c r="E24" s="8"/>
      <c r="F24" s="8"/>
      <c r="G24" s="8"/>
      <c r="H24" s="9"/>
    </row>
    <row r="25" spans="1:8" x14ac:dyDescent="0.4">
      <c r="A25" s="14"/>
      <c r="B25" s="6" t="s">
        <v>25</v>
      </c>
      <c r="C25" s="6">
        <v>3</v>
      </c>
      <c r="D25" s="6" t="s">
        <v>27</v>
      </c>
      <c r="E25" s="8"/>
      <c r="F25" s="8"/>
      <c r="G25" s="8"/>
      <c r="H25" s="9"/>
    </row>
    <row r="26" spans="1:8" x14ac:dyDescent="0.4">
      <c r="A26" s="14"/>
      <c r="B26" s="8" t="s">
        <v>5</v>
      </c>
      <c r="C26" s="8">
        <v>3</v>
      </c>
      <c r="D26" s="8" t="s">
        <v>7</v>
      </c>
      <c r="E26" s="8"/>
      <c r="F26" s="8"/>
      <c r="G26" s="8"/>
      <c r="H26" s="9"/>
    </row>
    <row r="27" spans="1:8" x14ac:dyDescent="0.4">
      <c r="A27" s="14"/>
      <c r="B27" s="8" t="s">
        <v>6</v>
      </c>
      <c r="C27" s="8">
        <v>6</v>
      </c>
      <c r="D27" s="8" t="s">
        <v>8</v>
      </c>
      <c r="E27" s="8"/>
      <c r="F27" s="8"/>
      <c r="G27" s="8"/>
      <c r="H27" s="9"/>
    </row>
    <row r="28" spans="1:8" x14ac:dyDescent="0.4">
      <c r="A28" s="14"/>
      <c r="B28" s="8" t="s">
        <v>13</v>
      </c>
      <c r="C28" s="8">
        <v>1</v>
      </c>
      <c r="D28" s="8" t="s">
        <v>29</v>
      </c>
      <c r="E28" s="8"/>
      <c r="F28" s="8"/>
      <c r="G28" s="8"/>
      <c r="H28" s="9"/>
    </row>
    <row r="29" spans="1:8" x14ac:dyDescent="0.4">
      <c r="A29" s="14"/>
      <c r="B29" s="8" t="s">
        <v>14</v>
      </c>
      <c r="C29" s="8">
        <v>3</v>
      </c>
      <c r="D29" s="8" t="s">
        <v>30</v>
      </c>
      <c r="E29" s="8"/>
      <c r="F29" s="8"/>
      <c r="G29" s="8"/>
      <c r="H29" s="9"/>
    </row>
    <row r="30" spans="1:8" x14ac:dyDescent="0.4">
      <c r="A30" s="14"/>
      <c r="B30" s="8" t="s">
        <v>9</v>
      </c>
      <c r="C30" s="8">
        <v>1</v>
      </c>
      <c r="D30" s="8" t="s">
        <v>12</v>
      </c>
      <c r="E30" s="8"/>
      <c r="F30" s="8"/>
      <c r="G30" s="8"/>
      <c r="H30" s="9"/>
    </row>
    <row r="31" spans="1:8" x14ac:dyDescent="0.4">
      <c r="A31" s="15" t="s">
        <v>33</v>
      </c>
      <c r="B31" s="10" t="s">
        <v>10</v>
      </c>
      <c r="C31" s="10">
        <v>3</v>
      </c>
      <c r="D31" s="10" t="s">
        <v>11</v>
      </c>
      <c r="E31" s="10"/>
      <c r="F31" s="10"/>
      <c r="G31" s="10"/>
      <c r="H31" s="11"/>
    </row>
    <row r="32" spans="1:8" x14ac:dyDescent="0.4">
      <c r="A32" s="13" t="s">
        <v>4</v>
      </c>
      <c r="B32" s="6" t="s">
        <v>17</v>
      </c>
      <c r="C32" s="6"/>
      <c r="D32" s="6" t="s">
        <v>16</v>
      </c>
      <c r="E32" s="6">
        <v>3</v>
      </c>
      <c r="F32" s="6">
        <v>6</v>
      </c>
      <c r="G32" s="6">
        <v>9</v>
      </c>
      <c r="H32" s="7">
        <v>12</v>
      </c>
    </row>
    <row r="33" spans="1:8" x14ac:dyDescent="0.4">
      <c r="A33" s="14"/>
      <c r="B33" s="8" t="s">
        <v>20</v>
      </c>
      <c r="C33" s="8"/>
      <c r="D33" s="8" t="s">
        <v>26</v>
      </c>
      <c r="E33" s="8">
        <v>3</v>
      </c>
      <c r="F33" s="8">
        <v>1</v>
      </c>
      <c r="G33" s="8">
        <v>2</v>
      </c>
      <c r="H33" s="9">
        <v>3</v>
      </c>
    </row>
    <row r="34" spans="1:8" x14ac:dyDescent="0.4">
      <c r="A34" s="14"/>
      <c r="B34" s="8" t="s">
        <v>21</v>
      </c>
      <c r="C34" s="8"/>
      <c r="D34" s="8" t="s">
        <v>22</v>
      </c>
      <c r="E34" s="8">
        <v>3</v>
      </c>
      <c r="F34" s="8">
        <v>70</v>
      </c>
      <c r="G34" s="8">
        <v>60</v>
      </c>
      <c r="H34" s="9">
        <v>50</v>
      </c>
    </row>
    <row r="35" spans="1:8" x14ac:dyDescent="0.4">
      <c r="A35" s="15"/>
      <c r="B35" s="10" t="s">
        <v>23</v>
      </c>
      <c r="C35" s="10"/>
      <c r="D35" s="10" t="s">
        <v>24</v>
      </c>
      <c r="E35" s="10">
        <v>3</v>
      </c>
      <c r="F35" s="12" t="s">
        <v>28</v>
      </c>
      <c r="G35" s="10"/>
      <c r="H35" s="11"/>
    </row>
    <row r="36" spans="1:8" x14ac:dyDescent="0.4">
      <c r="A36" s="15" t="s">
        <v>57</v>
      </c>
      <c r="B36" s="10"/>
      <c r="C36" s="10"/>
      <c r="D36" s="10"/>
      <c r="E36" s="10"/>
      <c r="F36" s="12"/>
      <c r="G36" s="10"/>
      <c r="H36" s="11"/>
    </row>
    <row r="37" spans="1:8" x14ac:dyDescent="0.4">
      <c r="A37" s="15"/>
      <c r="B37" s="10"/>
      <c r="C37" s="10"/>
      <c r="D37" s="10"/>
      <c r="E37" s="10"/>
      <c r="F37" s="12"/>
      <c r="G37" s="10"/>
      <c r="H37" s="11"/>
    </row>
    <row r="38" spans="1:8" x14ac:dyDescent="0.4">
      <c r="A38" s="15"/>
      <c r="B38" s="10"/>
      <c r="C38" s="10"/>
      <c r="D38" s="10"/>
      <c r="E38" s="10"/>
      <c r="F38" s="12"/>
      <c r="G38" s="10"/>
      <c r="H38" s="11"/>
    </row>
    <row r="39" spans="1:8" x14ac:dyDescent="0.4">
      <c r="A39" s="15"/>
      <c r="B39" s="10"/>
      <c r="C39" s="10"/>
      <c r="D39" s="10"/>
      <c r="E39" s="10"/>
      <c r="F39" s="12"/>
      <c r="G39" s="10"/>
      <c r="H39" s="11"/>
    </row>
    <row r="40" spans="1:8" x14ac:dyDescent="0.4">
      <c r="A40" s="15"/>
      <c r="B40" s="10"/>
      <c r="C40" s="10"/>
      <c r="D40" s="10"/>
      <c r="E40" s="10"/>
      <c r="F40" s="12"/>
      <c r="G40" s="10"/>
      <c r="H40" s="11"/>
    </row>
    <row r="41" spans="1:8" x14ac:dyDescent="0.4">
      <c r="A41" s="15" t="s">
        <v>71</v>
      </c>
      <c r="B41" s="10"/>
      <c r="C41" s="10"/>
      <c r="D41" s="10"/>
      <c r="E41" s="10"/>
      <c r="F41" s="12"/>
      <c r="G41" s="10"/>
      <c r="H41" s="11"/>
    </row>
    <row r="42" spans="1:8" x14ac:dyDescent="0.4">
      <c r="A42" s="15"/>
      <c r="B42" s="10"/>
      <c r="C42" s="10"/>
      <c r="D42" s="10"/>
      <c r="E42" s="10"/>
      <c r="F42" s="12"/>
      <c r="G42" s="10"/>
      <c r="H42" s="11"/>
    </row>
    <row r="43" spans="1:8" x14ac:dyDescent="0.4">
      <c r="A43" s="15"/>
      <c r="B43" s="10"/>
      <c r="C43" s="10"/>
      <c r="D43" s="10"/>
      <c r="E43" s="10"/>
      <c r="F43" s="12"/>
      <c r="G43" s="10"/>
      <c r="H43" s="11"/>
    </row>
    <row r="44" spans="1:8" x14ac:dyDescent="0.4">
      <c r="A44" s="15"/>
      <c r="B44" s="10"/>
      <c r="C44" s="10"/>
      <c r="D44" s="10"/>
      <c r="E44" s="10"/>
      <c r="F44" s="12"/>
      <c r="G44" s="10"/>
      <c r="H44" s="11"/>
    </row>
    <row r="45" spans="1:8" x14ac:dyDescent="0.4">
      <c r="A45" s="15"/>
      <c r="B45" s="10"/>
      <c r="C45" s="10"/>
      <c r="D45" s="10"/>
      <c r="E45" s="10"/>
      <c r="F45" s="12"/>
      <c r="G45" s="10"/>
      <c r="H45" s="11"/>
    </row>
    <row r="46" spans="1:8" x14ac:dyDescent="0.4">
      <c r="A46" s="15" t="s">
        <v>70</v>
      </c>
      <c r="B46" s="10"/>
      <c r="C46" s="10"/>
      <c r="D46" s="10"/>
      <c r="E46" s="10"/>
      <c r="F46" s="12"/>
      <c r="G46" s="10"/>
      <c r="H46" s="11"/>
    </row>
    <row r="47" spans="1:8" x14ac:dyDescent="0.4">
      <c r="A47" s="15"/>
      <c r="B47" s="10"/>
      <c r="C47" s="10"/>
      <c r="D47" s="10"/>
      <c r="E47" s="10"/>
      <c r="F47" s="12"/>
      <c r="G47" s="10"/>
      <c r="H47" s="11"/>
    </row>
    <row r="48" spans="1:8" x14ac:dyDescent="0.4">
      <c r="A48" s="15"/>
      <c r="B48" s="10"/>
      <c r="C48" s="10"/>
      <c r="D48" s="10"/>
      <c r="E48" s="10"/>
      <c r="F48" s="12"/>
      <c r="G48" s="10"/>
      <c r="H48" s="11"/>
    </row>
    <row r="49" spans="1:8" x14ac:dyDescent="0.4">
      <c r="A49" s="15"/>
      <c r="B49" s="10"/>
      <c r="C49" s="10"/>
      <c r="D49" s="10"/>
      <c r="E49" s="10"/>
      <c r="F49" s="12"/>
      <c r="G49" s="10"/>
      <c r="H49" s="11"/>
    </row>
    <row r="50" spans="1:8" x14ac:dyDescent="0.4">
      <c r="A50" s="15"/>
      <c r="B50" s="10"/>
      <c r="C50" s="10"/>
      <c r="D50" s="10"/>
      <c r="E50" s="10"/>
      <c r="F50" s="12"/>
      <c r="G50" s="10"/>
      <c r="H50" s="11"/>
    </row>
    <row r="51" spans="1:8" x14ac:dyDescent="0.4">
      <c r="A51" s="3" t="s">
        <v>32</v>
      </c>
      <c r="B51" s="16" t="s">
        <v>36</v>
      </c>
      <c r="C51" s="16"/>
      <c r="D51" s="16"/>
      <c r="E51" s="16"/>
      <c r="F51" s="16"/>
      <c r="G51" s="16"/>
      <c r="H51" s="1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ion">
          <controlPr defaultSize="0" autoLine="0" r:id="rId5">
            <anchor moveWithCells="1">
              <from>
                <xdr:col>1</xdr:col>
                <xdr:colOff>403860</xdr:colOff>
                <xdr:row>0</xdr:row>
                <xdr:rowOff>76200</xdr:rowOff>
              </from>
              <to>
                <xdr:col>2</xdr:col>
                <xdr:colOff>541020</xdr:colOff>
                <xdr:row>1</xdr:row>
                <xdr:rowOff>121920</xdr:rowOff>
              </to>
            </anchor>
          </controlPr>
        </control>
      </mc:Choice>
      <mc:Fallback>
        <control shapeId="1025" r:id="rId4" name="Gen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014EA-CC29-4A29-AE91-2813635BC48E}">
  <sheetPr codeName="project"/>
  <dimension ref="B2:D41"/>
  <sheetViews>
    <sheetView tabSelected="1" topLeftCell="A28" workbookViewId="0">
      <selection activeCell="B41" sqref="B41"/>
    </sheetView>
  </sheetViews>
  <sheetFormatPr defaultRowHeight="17.399999999999999" x14ac:dyDescent="0.4"/>
  <cols>
    <col min="1" max="6" width="13.8984375" customWidth="1"/>
  </cols>
  <sheetData>
    <row r="2" spans="2:4" x14ac:dyDescent="0.4">
      <c r="B2" t="s">
        <v>92</v>
      </c>
      <c r="C2" t="s">
        <v>93</v>
      </c>
      <c r="D2" t="s">
        <v>94</v>
      </c>
    </row>
    <row r="3" spans="2:4" x14ac:dyDescent="0.4">
      <c r="B3">
        <v>0.6</v>
      </c>
      <c r="C3">
        <v>0.25</v>
      </c>
      <c r="D3">
        <v>0.17499999999999999</v>
      </c>
    </row>
    <row r="4" spans="2:4" x14ac:dyDescent="0.4">
      <c r="B4">
        <v>2</v>
      </c>
      <c r="C4">
        <v>2</v>
      </c>
      <c r="D4">
        <v>0</v>
      </c>
    </row>
    <row r="5" spans="2:4" x14ac:dyDescent="0.4">
      <c r="B5">
        <v>1</v>
      </c>
      <c r="C5">
        <v>1</v>
      </c>
      <c r="D5">
        <v>0</v>
      </c>
    </row>
    <row r="6" spans="2:4" x14ac:dyDescent="0.4">
      <c r="B6">
        <v>2</v>
      </c>
      <c r="C6">
        <v>3</v>
      </c>
      <c r="D6">
        <v>0</v>
      </c>
    </row>
    <row r="7" spans="2:4" x14ac:dyDescent="0.4">
      <c r="B7">
        <v>2</v>
      </c>
      <c r="C7">
        <v>2</v>
      </c>
      <c r="D7">
        <v>0</v>
      </c>
    </row>
    <row r="8" spans="2:4" x14ac:dyDescent="0.4">
      <c r="B8">
        <v>1</v>
      </c>
      <c r="C8">
        <v>1</v>
      </c>
      <c r="D8">
        <v>0</v>
      </c>
    </row>
    <row r="9" spans="2:4" x14ac:dyDescent="0.4">
      <c r="B9">
        <v>2</v>
      </c>
      <c r="C9">
        <v>0</v>
      </c>
      <c r="D9">
        <v>2</v>
      </c>
    </row>
    <row r="10" spans="2:4" x14ac:dyDescent="0.4">
      <c r="B10">
        <v>2</v>
      </c>
      <c r="C10">
        <v>0</v>
      </c>
      <c r="D10">
        <v>0</v>
      </c>
    </row>
    <row r="11" spans="2:4" x14ac:dyDescent="0.4">
      <c r="B11">
        <v>2</v>
      </c>
      <c r="C11">
        <v>1</v>
      </c>
      <c r="D11">
        <v>1</v>
      </c>
    </row>
    <row r="12" spans="2:4" x14ac:dyDescent="0.4">
      <c r="B12">
        <v>3</v>
      </c>
      <c r="C12">
        <v>1</v>
      </c>
      <c r="D12">
        <v>1</v>
      </c>
    </row>
    <row r="13" spans="2:4" x14ac:dyDescent="0.4">
      <c r="B13">
        <v>4</v>
      </c>
      <c r="C13">
        <v>1</v>
      </c>
      <c r="D13">
        <v>1</v>
      </c>
    </row>
    <row r="14" spans="2:4" x14ac:dyDescent="0.4">
      <c r="B14">
        <v>2</v>
      </c>
      <c r="C14">
        <v>2</v>
      </c>
      <c r="D14">
        <v>1</v>
      </c>
    </row>
    <row r="15" spans="2:4" x14ac:dyDescent="0.4">
      <c r="B15">
        <v>3</v>
      </c>
      <c r="C15">
        <v>2</v>
      </c>
      <c r="D15">
        <v>0</v>
      </c>
    </row>
    <row r="16" spans="2:4" x14ac:dyDescent="0.4">
      <c r="B16">
        <v>3</v>
      </c>
      <c r="C16">
        <v>1</v>
      </c>
      <c r="D16">
        <v>1</v>
      </c>
    </row>
    <row r="17" spans="2:4" x14ac:dyDescent="0.4">
      <c r="B17">
        <v>2</v>
      </c>
      <c r="C17">
        <v>0</v>
      </c>
      <c r="D17">
        <v>2</v>
      </c>
    </row>
    <row r="18" spans="2:4" x14ac:dyDescent="0.4">
      <c r="B18">
        <v>2</v>
      </c>
      <c r="C18">
        <v>0</v>
      </c>
      <c r="D18">
        <v>0</v>
      </c>
    </row>
    <row r="19" spans="2:4" x14ac:dyDescent="0.4">
      <c r="B19">
        <v>3</v>
      </c>
      <c r="C19">
        <v>0</v>
      </c>
      <c r="D19">
        <v>1</v>
      </c>
    </row>
    <row r="20" spans="2:4" x14ac:dyDescent="0.4">
      <c r="B20">
        <v>4</v>
      </c>
      <c r="C20">
        <v>2</v>
      </c>
      <c r="D20">
        <v>0</v>
      </c>
    </row>
    <row r="21" spans="2:4" x14ac:dyDescent="0.4">
      <c r="B21">
        <v>2</v>
      </c>
      <c r="C21">
        <v>2</v>
      </c>
      <c r="D21">
        <v>3</v>
      </c>
    </row>
    <row r="22" spans="2:4" x14ac:dyDescent="0.4">
      <c r="B22">
        <v>3</v>
      </c>
      <c r="C22">
        <v>0</v>
      </c>
      <c r="D22">
        <v>0</v>
      </c>
    </row>
    <row r="23" spans="2:4" x14ac:dyDescent="0.4">
      <c r="B23">
        <v>2</v>
      </c>
      <c r="C23">
        <v>1</v>
      </c>
      <c r="D23">
        <v>1</v>
      </c>
    </row>
    <row r="24" spans="2:4" x14ac:dyDescent="0.4">
      <c r="B24">
        <v>1</v>
      </c>
      <c r="C24">
        <v>1</v>
      </c>
      <c r="D24">
        <v>1</v>
      </c>
    </row>
    <row r="25" spans="2:4" x14ac:dyDescent="0.4">
      <c r="B25">
        <v>0</v>
      </c>
      <c r="C25">
        <v>3</v>
      </c>
      <c r="D25">
        <v>0</v>
      </c>
    </row>
    <row r="26" spans="2:4" x14ac:dyDescent="0.4">
      <c r="B26">
        <v>4</v>
      </c>
      <c r="C26">
        <v>2</v>
      </c>
      <c r="D26">
        <v>1</v>
      </c>
    </row>
    <row r="27" spans="2:4" x14ac:dyDescent="0.4">
      <c r="B27">
        <v>2</v>
      </c>
      <c r="C27">
        <v>1</v>
      </c>
      <c r="D27">
        <v>1</v>
      </c>
    </row>
    <row r="28" spans="2:4" x14ac:dyDescent="0.4">
      <c r="B28">
        <v>3</v>
      </c>
      <c r="C28">
        <v>2</v>
      </c>
      <c r="D28">
        <v>0</v>
      </c>
    </row>
    <row r="29" spans="2:4" x14ac:dyDescent="0.4">
      <c r="B29">
        <v>3</v>
      </c>
      <c r="C29">
        <v>1</v>
      </c>
      <c r="D29">
        <v>1</v>
      </c>
    </row>
    <row r="30" spans="2:4" x14ac:dyDescent="0.4">
      <c r="B30">
        <v>0</v>
      </c>
      <c r="C30">
        <v>1</v>
      </c>
      <c r="D30">
        <v>2</v>
      </c>
    </row>
    <row r="31" spans="2:4" x14ac:dyDescent="0.4">
      <c r="B31">
        <v>3</v>
      </c>
      <c r="C31">
        <v>1</v>
      </c>
      <c r="D31">
        <v>0</v>
      </c>
    </row>
    <row r="32" spans="2:4" x14ac:dyDescent="0.4">
      <c r="B32">
        <v>4</v>
      </c>
      <c r="C32">
        <v>1</v>
      </c>
      <c r="D32">
        <v>1</v>
      </c>
    </row>
    <row r="33" spans="2:4" x14ac:dyDescent="0.4">
      <c r="B33">
        <v>1</v>
      </c>
      <c r="C33">
        <v>1</v>
      </c>
      <c r="D33">
        <v>2</v>
      </c>
    </row>
    <row r="34" spans="2:4" x14ac:dyDescent="0.4">
      <c r="B34">
        <v>4</v>
      </c>
      <c r="C34">
        <v>0</v>
      </c>
      <c r="D34">
        <v>0</v>
      </c>
    </row>
    <row r="35" spans="2:4" x14ac:dyDescent="0.4">
      <c r="B35">
        <v>3</v>
      </c>
      <c r="C35">
        <v>0</v>
      </c>
      <c r="D35">
        <v>0</v>
      </c>
    </row>
    <row r="36" spans="2:4" x14ac:dyDescent="0.4">
      <c r="B36">
        <v>2</v>
      </c>
      <c r="C36">
        <v>1</v>
      </c>
      <c r="D36">
        <v>0</v>
      </c>
    </row>
    <row r="37" spans="2:4" x14ac:dyDescent="0.4">
      <c r="B37">
        <v>3</v>
      </c>
      <c r="C37">
        <v>1</v>
      </c>
      <c r="D37">
        <v>1</v>
      </c>
    </row>
    <row r="38" spans="2:4" x14ac:dyDescent="0.4">
      <c r="B38">
        <v>4</v>
      </c>
      <c r="C38">
        <v>0</v>
      </c>
      <c r="D38">
        <v>0</v>
      </c>
    </row>
    <row r="39" spans="2:4" x14ac:dyDescent="0.4">
      <c r="B39">
        <v>3</v>
      </c>
      <c r="C39">
        <v>2</v>
      </c>
      <c r="D39">
        <v>1</v>
      </c>
    </row>
    <row r="40" spans="2:4" x14ac:dyDescent="0.4">
      <c r="B40">
        <f>SUM(B4:B39)</f>
        <v>87</v>
      </c>
      <c r="C40">
        <f t="shared" ref="C40:D40" si="0">SUM(C4:C39)</f>
        <v>40</v>
      </c>
      <c r="D40">
        <f t="shared" si="0"/>
        <v>25</v>
      </c>
    </row>
    <row r="41" spans="2:4" x14ac:dyDescent="0.4">
      <c r="B41">
        <f>AVERAGE(B3:B39)</f>
        <v>2.3675675675675674</v>
      </c>
      <c r="C41">
        <f t="shared" ref="C41:D41" si="1">AVERAGE(C3:C39)</f>
        <v>1.0878378378378379</v>
      </c>
      <c r="D41">
        <f t="shared" si="1"/>
        <v>0.68040540540540539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33EEA-93EE-4DCC-B324-648F27BF5C7A}">
  <sheetPr codeName="hr"/>
  <dimension ref="A1"/>
  <sheetViews>
    <sheetView workbookViewId="0">
      <selection activeCell="D18" sqref="D18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24F13-3B27-44A6-B39F-8920B5E914F1}">
  <sheetPr codeName="datastructer"/>
  <dimension ref="A1:G34"/>
  <sheetViews>
    <sheetView workbookViewId="0">
      <selection activeCell="D10" sqref="D10"/>
    </sheetView>
  </sheetViews>
  <sheetFormatPr defaultRowHeight="17.399999999999999" x14ac:dyDescent="0.4"/>
  <cols>
    <col min="1" max="2" width="8.796875" style="20"/>
    <col min="3" max="3" width="13.69921875" style="20" bestFit="1" customWidth="1"/>
    <col min="4" max="5" width="8.796875" style="20"/>
    <col min="6" max="6" width="8.796875" style="21"/>
    <col min="7" max="7" width="13" style="20" bestFit="1" customWidth="1"/>
    <col min="8" max="16384" width="8.796875" style="20"/>
  </cols>
  <sheetData>
    <row r="1" spans="1:7" s="19" customFormat="1" x14ac:dyDescent="0.4">
      <c r="F1" s="27"/>
    </row>
    <row r="2" spans="1:7" s="19" customFormat="1" x14ac:dyDescent="0.4">
      <c r="A2" s="40" t="s">
        <v>52</v>
      </c>
      <c r="B2" s="41"/>
      <c r="F2" s="27"/>
    </row>
    <row r="3" spans="1:7" s="19" customFormat="1" x14ac:dyDescent="0.4">
      <c r="A3" s="28" t="s">
        <v>53</v>
      </c>
      <c r="B3" s="29" t="s">
        <v>54</v>
      </c>
      <c r="F3" s="27"/>
    </row>
    <row r="5" spans="1:7" x14ac:dyDescent="0.4">
      <c r="A5" s="38" t="s">
        <v>37</v>
      </c>
      <c r="B5" s="22" t="s">
        <v>51</v>
      </c>
    </row>
    <row r="6" spans="1:7" x14ac:dyDescent="0.4">
      <c r="A6" s="38"/>
      <c r="B6" s="38" t="s">
        <v>38</v>
      </c>
      <c r="D6" s="23"/>
      <c r="E6" s="23"/>
      <c r="F6" s="24"/>
      <c r="G6" s="32" t="s">
        <v>44</v>
      </c>
    </row>
    <row r="7" spans="1:7" x14ac:dyDescent="0.4">
      <c r="A7" s="38"/>
      <c r="B7" s="38"/>
      <c r="D7" s="23"/>
      <c r="E7" s="23"/>
      <c r="F7" s="24"/>
      <c r="G7" s="32" t="s">
        <v>45</v>
      </c>
    </row>
    <row r="8" spans="1:7" x14ac:dyDescent="0.4">
      <c r="A8" s="38"/>
      <c r="B8" s="38"/>
      <c r="D8" s="23"/>
      <c r="E8" s="23"/>
      <c r="F8" s="24"/>
      <c r="G8" s="32" t="s">
        <v>46</v>
      </c>
    </row>
    <row r="9" spans="1:7" x14ac:dyDescent="0.4">
      <c r="A9" s="38"/>
      <c r="B9" s="26" t="s">
        <v>67</v>
      </c>
      <c r="D9" s="23"/>
      <c r="E9" s="23"/>
      <c r="F9" s="24"/>
      <c r="G9" s="33"/>
    </row>
    <row r="10" spans="1:7" x14ac:dyDescent="0.4">
      <c r="A10" s="38"/>
      <c r="B10" s="26" t="s">
        <v>66</v>
      </c>
      <c r="D10" s="23"/>
      <c r="E10" s="23"/>
      <c r="F10" s="24"/>
      <c r="G10" s="33"/>
    </row>
    <row r="11" spans="1:7" x14ac:dyDescent="0.4">
      <c r="A11" s="38"/>
      <c r="B11" s="26" t="s">
        <v>68</v>
      </c>
      <c r="C11" s="20" t="s">
        <v>69</v>
      </c>
      <c r="D11" s="23"/>
      <c r="E11" s="23"/>
      <c r="F11" s="24"/>
      <c r="G11" s="33"/>
    </row>
    <row r="12" spans="1:7" x14ac:dyDescent="0.4">
      <c r="A12" s="38"/>
      <c r="B12" s="25" t="s">
        <v>55</v>
      </c>
      <c r="C12" s="24"/>
      <c r="D12" s="23"/>
      <c r="E12" s="23"/>
      <c r="F12" s="24"/>
      <c r="G12" s="23"/>
    </row>
    <row r="13" spans="1:7" x14ac:dyDescent="0.4">
      <c r="A13" s="38"/>
      <c r="B13" s="26" t="s">
        <v>50</v>
      </c>
      <c r="C13" s="24"/>
      <c r="D13" s="23"/>
      <c r="E13" s="23"/>
      <c r="F13" s="24"/>
      <c r="G13" s="23"/>
    </row>
    <row r="14" spans="1:7" x14ac:dyDescent="0.4">
      <c r="A14" s="38"/>
      <c r="B14" s="43" t="s">
        <v>47</v>
      </c>
      <c r="C14" s="30" t="s">
        <v>55</v>
      </c>
      <c r="D14" s="23"/>
      <c r="E14" s="23"/>
      <c r="F14" s="24"/>
      <c r="G14" s="23"/>
    </row>
    <row r="15" spans="1:7" x14ac:dyDescent="0.4">
      <c r="A15" s="38"/>
      <c r="B15" s="44"/>
      <c r="C15" s="31" t="s">
        <v>61</v>
      </c>
      <c r="D15" s="23"/>
      <c r="E15" s="23"/>
      <c r="F15" s="24"/>
      <c r="G15" s="23"/>
    </row>
    <row r="16" spans="1:7" x14ac:dyDescent="0.4">
      <c r="A16" s="38"/>
      <c r="B16" s="44"/>
      <c r="C16" s="39" t="s">
        <v>62</v>
      </c>
      <c r="D16" s="42" t="s">
        <v>56</v>
      </c>
      <c r="E16" s="26" t="s">
        <v>39</v>
      </c>
      <c r="F16" s="24"/>
      <c r="G16" s="26" t="s">
        <v>41</v>
      </c>
    </row>
    <row r="17" spans="1:7" x14ac:dyDescent="0.4">
      <c r="A17" s="38"/>
      <c r="B17" s="44"/>
      <c r="C17" s="39"/>
      <c r="D17" s="42"/>
      <c r="E17" s="26" t="s">
        <v>40</v>
      </c>
      <c r="F17" s="24"/>
      <c r="G17" s="26" t="s">
        <v>41</v>
      </c>
    </row>
    <row r="18" spans="1:7" x14ac:dyDescent="0.4">
      <c r="A18" s="38"/>
      <c r="B18" s="44"/>
      <c r="C18" s="39"/>
      <c r="D18" s="42"/>
      <c r="E18" s="26" t="s">
        <v>43</v>
      </c>
      <c r="F18" s="24"/>
      <c r="G18" s="26" t="s">
        <v>41</v>
      </c>
    </row>
    <row r="19" spans="1:7" x14ac:dyDescent="0.4">
      <c r="A19" s="38"/>
      <c r="B19" s="44"/>
      <c r="C19" s="39" t="s">
        <v>63</v>
      </c>
      <c r="D19" s="42" t="s">
        <v>56</v>
      </c>
      <c r="E19" s="26" t="s">
        <v>39</v>
      </c>
      <c r="F19" s="24"/>
      <c r="G19" s="26" t="s">
        <v>41</v>
      </c>
    </row>
    <row r="20" spans="1:7" x14ac:dyDescent="0.4">
      <c r="A20" s="38"/>
      <c r="B20" s="44"/>
      <c r="C20" s="39"/>
      <c r="D20" s="42"/>
      <c r="E20" s="26" t="s">
        <v>40</v>
      </c>
      <c r="F20" s="24"/>
      <c r="G20" s="26" t="s">
        <v>41</v>
      </c>
    </row>
    <row r="21" spans="1:7" x14ac:dyDescent="0.4">
      <c r="A21" s="38"/>
      <c r="B21" s="44"/>
      <c r="C21" s="39"/>
      <c r="D21" s="42"/>
      <c r="E21" s="26" t="s">
        <v>43</v>
      </c>
      <c r="F21" s="24"/>
      <c r="G21" s="26" t="s">
        <v>41</v>
      </c>
    </row>
    <row r="22" spans="1:7" x14ac:dyDescent="0.4">
      <c r="A22" s="38"/>
      <c r="B22" s="44"/>
      <c r="C22" s="39" t="s">
        <v>64</v>
      </c>
      <c r="D22" s="42" t="s">
        <v>56</v>
      </c>
      <c r="E22" s="26" t="s">
        <v>39</v>
      </c>
      <c r="F22" s="24"/>
      <c r="G22" s="26" t="s">
        <v>41</v>
      </c>
    </row>
    <row r="23" spans="1:7" x14ac:dyDescent="0.4">
      <c r="A23" s="38"/>
      <c r="B23" s="44"/>
      <c r="C23" s="39"/>
      <c r="D23" s="42"/>
      <c r="E23" s="26" t="s">
        <v>40</v>
      </c>
      <c r="F23" s="24"/>
      <c r="G23" s="26" t="s">
        <v>41</v>
      </c>
    </row>
    <row r="24" spans="1:7" x14ac:dyDescent="0.4">
      <c r="A24" s="38"/>
      <c r="B24" s="45"/>
      <c r="C24" s="39"/>
      <c r="D24" s="42"/>
      <c r="E24" s="26" t="s">
        <v>43</v>
      </c>
      <c r="F24" s="24"/>
      <c r="G24" s="26" t="s">
        <v>41</v>
      </c>
    </row>
    <row r="25" spans="1:7" x14ac:dyDescent="0.4">
      <c r="A25" s="38"/>
      <c r="B25" s="38" t="s">
        <v>48</v>
      </c>
      <c r="C25" s="30" t="s">
        <v>55</v>
      </c>
      <c r="D25" s="23"/>
      <c r="E25" s="23"/>
      <c r="F25" s="24"/>
      <c r="G25" s="23"/>
    </row>
    <row r="26" spans="1:7" x14ac:dyDescent="0.4">
      <c r="A26" s="38"/>
      <c r="B26" s="38"/>
      <c r="C26" s="31" t="s">
        <v>61</v>
      </c>
      <c r="D26" s="23"/>
      <c r="E26" s="23"/>
      <c r="F26" s="24"/>
      <c r="G26" s="23"/>
    </row>
    <row r="27" spans="1:7" x14ac:dyDescent="0.4">
      <c r="A27" s="38"/>
      <c r="B27" s="38"/>
      <c r="C27" s="39" t="s">
        <v>65</v>
      </c>
      <c r="D27" s="38" t="s">
        <v>42</v>
      </c>
      <c r="E27" s="26" t="s">
        <v>39</v>
      </c>
      <c r="F27" s="24"/>
      <c r="G27" s="26" t="s">
        <v>41</v>
      </c>
    </row>
    <row r="28" spans="1:7" x14ac:dyDescent="0.4">
      <c r="A28" s="38"/>
      <c r="B28" s="38"/>
      <c r="C28" s="39"/>
      <c r="D28" s="38"/>
      <c r="E28" s="26" t="s">
        <v>40</v>
      </c>
      <c r="F28" s="24"/>
      <c r="G28" s="26" t="s">
        <v>41</v>
      </c>
    </row>
    <row r="29" spans="1:7" x14ac:dyDescent="0.4">
      <c r="A29" s="38"/>
      <c r="B29" s="38"/>
      <c r="C29" s="39"/>
      <c r="D29" s="38"/>
      <c r="E29" s="26" t="s">
        <v>43</v>
      </c>
      <c r="F29" s="24"/>
      <c r="G29" s="26" t="s">
        <v>41</v>
      </c>
    </row>
    <row r="30" spans="1:7" x14ac:dyDescent="0.4">
      <c r="A30" s="38"/>
      <c r="B30" s="38" t="s">
        <v>49</v>
      </c>
      <c r="C30" s="30" t="s">
        <v>55</v>
      </c>
      <c r="D30" s="23"/>
      <c r="E30" s="23"/>
      <c r="F30" s="24"/>
      <c r="G30" s="23"/>
    </row>
    <row r="31" spans="1:7" x14ac:dyDescent="0.4">
      <c r="A31" s="38"/>
      <c r="B31" s="38"/>
      <c r="C31" s="31" t="s">
        <v>61</v>
      </c>
      <c r="D31" s="23"/>
      <c r="E31" s="23"/>
      <c r="F31" s="24"/>
      <c r="G31" s="23"/>
    </row>
    <row r="32" spans="1:7" x14ac:dyDescent="0.4">
      <c r="A32" s="38"/>
      <c r="B32" s="38"/>
      <c r="C32" s="39" t="s">
        <v>65</v>
      </c>
      <c r="D32" s="38" t="s">
        <v>42</v>
      </c>
      <c r="E32" s="26" t="s">
        <v>39</v>
      </c>
      <c r="F32" s="24"/>
      <c r="G32" s="26" t="s">
        <v>41</v>
      </c>
    </row>
    <row r="33" spans="1:7" x14ac:dyDescent="0.4">
      <c r="A33" s="38"/>
      <c r="B33" s="38"/>
      <c r="C33" s="39"/>
      <c r="D33" s="38"/>
      <c r="E33" s="26" t="s">
        <v>40</v>
      </c>
      <c r="F33" s="24"/>
      <c r="G33" s="26" t="s">
        <v>41</v>
      </c>
    </row>
    <row r="34" spans="1:7" x14ac:dyDescent="0.4">
      <c r="A34" s="38"/>
      <c r="B34" s="38"/>
      <c r="C34" s="39"/>
      <c r="D34" s="38"/>
      <c r="E34" s="26" t="s">
        <v>43</v>
      </c>
      <c r="F34" s="24"/>
      <c r="G34" s="26" t="s">
        <v>41</v>
      </c>
    </row>
  </sheetData>
  <mergeCells count="16">
    <mergeCell ref="B30:B34"/>
    <mergeCell ref="C32:C34"/>
    <mergeCell ref="D32:D34"/>
    <mergeCell ref="A5:A34"/>
    <mergeCell ref="A2:B2"/>
    <mergeCell ref="C19:C21"/>
    <mergeCell ref="D19:D21"/>
    <mergeCell ref="C22:C24"/>
    <mergeCell ref="D22:D24"/>
    <mergeCell ref="B6:B8"/>
    <mergeCell ref="C16:C18"/>
    <mergeCell ref="D16:D18"/>
    <mergeCell ref="B25:B29"/>
    <mergeCell ref="C27:C29"/>
    <mergeCell ref="D27:D29"/>
    <mergeCell ref="B14:B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BFB5C-6522-4408-85B6-C59E618EE3AC}">
  <sheetPr codeName="activity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2424-1A4D-45EE-B0E1-9B327F77AE5B}">
  <sheetPr codeName="Sheet5"/>
  <dimension ref="A2:B6"/>
  <sheetViews>
    <sheetView workbookViewId="0">
      <selection activeCell="B2" sqref="B2:B4"/>
    </sheetView>
  </sheetViews>
  <sheetFormatPr defaultRowHeight="17.399999999999999" x14ac:dyDescent="0.4"/>
  <cols>
    <col min="1" max="1" width="15.3984375" bestFit="1" customWidth="1"/>
  </cols>
  <sheetData>
    <row r="2" spans="1:2" x14ac:dyDescent="0.4">
      <c r="A2" t="s">
        <v>79</v>
      </c>
      <c r="B2" s="37" t="s">
        <v>87</v>
      </c>
    </row>
    <row r="3" spans="1:2" x14ac:dyDescent="0.4">
      <c r="A3" t="s">
        <v>80</v>
      </c>
      <c r="B3" s="36" t="s">
        <v>88</v>
      </c>
    </row>
    <row r="4" spans="1:2" x14ac:dyDescent="0.4">
      <c r="A4" t="s">
        <v>81</v>
      </c>
      <c r="B4" s="35" t="s">
        <v>84</v>
      </c>
    </row>
    <row r="5" spans="1:2" x14ac:dyDescent="0.4">
      <c r="A5" t="s">
        <v>82</v>
      </c>
      <c r="B5" s="35" t="s">
        <v>85</v>
      </c>
    </row>
    <row r="6" spans="1:2" x14ac:dyDescent="0.4">
      <c r="A6" t="s">
        <v>83</v>
      </c>
      <c r="B6" s="35" t="s">
        <v>86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generator</vt:lpstr>
      <vt:lpstr>project</vt:lpstr>
      <vt:lpstr>hr</vt:lpstr>
      <vt:lpstr>datastructer</vt:lpstr>
      <vt:lpstr>activity</vt:lpstr>
      <vt:lpstr>옵션설명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Jiho Song</dc:creator>
  <cp:lastModifiedBy>Jiho Song</cp:lastModifiedBy>
  <dcterms:created xsi:type="dcterms:W3CDTF">2015-06-05T18:19:34Z</dcterms:created>
  <dcterms:modified xsi:type="dcterms:W3CDTF">2024-01-26T14:50:25Z</dcterms:modified>
</cp:coreProperties>
</file>